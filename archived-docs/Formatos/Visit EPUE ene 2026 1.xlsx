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ORMULAS" sheetId="1" r:id="rId4"/>
    <sheet state="hidden" name="Datos" sheetId="2" r:id="rId5"/>
    <sheet state="visible" name="RECURSOS HUMANOS" sheetId="3" r:id="rId6"/>
  </sheets>
  <definedNames>
    <definedName name="METAS">#REF!</definedName>
    <definedName name="HOTELES">#REF!</definedName>
    <definedName name="ALZEN">#REF!</definedName>
  </definedNames>
  <calcPr/>
  <extLst>
    <ext uri="GoogleSheetsCustomDataVersion2">
      <go:sheetsCustomData xmlns:go="http://customooxmlschemas.google.com/" r:id="rId7" roundtripDataChecksum="WjEGj7a72i/XKvEBQprTnfeONEhNmDpMvrHfNV1j4Io="/>
    </ext>
  </extLst>
</workbook>
</file>

<file path=xl/sharedStrings.xml><?xml version="1.0" encoding="utf-8"?>
<sst xmlns="http://schemas.openxmlformats.org/spreadsheetml/2006/main" count="206" uniqueCount="138">
  <si>
    <t>ENCORE GUADALAJARA</t>
  </si>
  <si>
    <t>Cumple</t>
  </si>
  <si>
    <t>ENCORE AEROPUERTO</t>
  </si>
  <si>
    <t>No Cumple</t>
  </si>
  <si>
    <t>ENCORE QUERETARO</t>
  </si>
  <si>
    <t>N/A</t>
  </si>
  <si>
    <t>ENCORE SAN LUIS POTOSI</t>
  </si>
  <si>
    <t>ENCORE PUEBLA</t>
  </si>
  <si>
    <t>ENCORE AGUASCALIENTES</t>
  </si>
  <si>
    <t>ENCORE MONTERREY</t>
  </si>
  <si>
    <t>MICROTEL SAN LUIS POTOSI</t>
  </si>
  <si>
    <t>MICROTEL IRAPUATO</t>
  </si>
  <si>
    <t>MICROTEL GUADALAJARA</t>
  </si>
  <si>
    <t>PORCENTAJE</t>
  </si>
  <si>
    <t>ESCALA</t>
  </si>
  <si>
    <t>GRADOS</t>
  </si>
  <si>
    <t>X</t>
  </si>
  <si>
    <t>Y</t>
  </si>
  <si>
    <t>INICIAL</t>
  </si>
  <si>
    <t>FINAL</t>
  </si>
  <si>
    <t>SUPERVISION RECURSOS HUMANOS</t>
  </si>
  <si>
    <t>HOTEL</t>
  </si>
  <si>
    <t>FECHA</t>
  </si>
  <si>
    <t>RESPONSABLE</t>
  </si>
  <si>
    <t>KAREN RODRIGUEZ/JUAN PABLO G.</t>
  </si>
  <si>
    <t>SUPERVISOR</t>
  </si>
  <si>
    <t>FERNANDO CAMARENA</t>
  </si>
  <si>
    <t>PROMEDIO GENERAL SUPERVISION DIVISION CUARTOS</t>
  </si>
  <si>
    <t>Calificacion Promedio</t>
  </si>
  <si>
    <t>CALIFICACIONES SUPERVISIONES PASADAS</t>
  </si>
  <si>
    <t>CALIFICACION</t>
  </si>
  <si>
    <t>T1</t>
  </si>
  <si>
    <t>T2</t>
  </si>
  <si>
    <t>T3</t>
  </si>
  <si>
    <t>T4</t>
  </si>
  <si>
    <t>Calificación promedio</t>
  </si>
  <si>
    <t>CALIFICACIONES POR AREA RECEPCION</t>
  </si>
  <si>
    <t>Calificación por Area</t>
  </si>
  <si>
    <t>Calif Max</t>
  </si>
  <si>
    <t>Calificación supervisión</t>
  </si>
  <si>
    <t>Planificación y control de plantilla</t>
  </si>
  <si>
    <t>Plan de inducción a colaboradores</t>
  </si>
  <si>
    <t>Evaluación y gestión de desempeño</t>
  </si>
  <si>
    <t>Reconocimiento y recompensas</t>
  </si>
  <si>
    <t>Prevención social y laboral</t>
  </si>
  <si>
    <t>Áreas comunes de colaboradores</t>
  </si>
  <si>
    <t>Calendario de actividades</t>
  </si>
  <si>
    <t>Expedientes</t>
  </si>
  <si>
    <t>Imagen</t>
  </si>
  <si>
    <t>Vinculaciones</t>
  </si>
  <si>
    <t>Calificación Final</t>
  </si>
  <si>
    <t>Comentarios Generales:</t>
  </si>
  <si>
    <t>1. Falta reforzar imagen de colaboradores actuales deacuerdo a la imagen corporativa actual previamente autorizada.</t>
  </si>
  <si>
    <t>2. Compra de uniformes pendientes falta definir proveedor local que surta de acuerdo a necesidades</t>
  </si>
  <si>
    <t>3.-Trabajar más en la integración sobre todo en los jefes departamentales con la Gerencia y Comites</t>
  </si>
  <si>
    <t>4.- Se Recomienda hacer una programación de Vacaciones Anual, ya que se detecto retrazos en los pagos de las mismas debido a ocupaciones y vacantes</t>
  </si>
  <si>
    <t>5.- Seguimiento Puntual por parte del Area y de RH en las Integraciones del Nuevo Personal ( Varias vacantes de recien ingreso ALL y S/huesped</t>
  </si>
  <si>
    <t>6.- Allaves solicita revisión de Plantilla y evaluación de un supervisor (a) adicional / Cubre Vacaciones</t>
  </si>
  <si>
    <t>7.- El Servicio y Atención del personal en General Bueno.</t>
  </si>
  <si>
    <t>8.- Falta Trabajar en estandarizar presentaciones y Atención a los detalles sobre todo en Areas de Alimentos.</t>
  </si>
  <si>
    <t>Política e integración carpeta RH</t>
  </si>
  <si>
    <t>#</t>
  </si>
  <si>
    <t>Descripción</t>
  </si>
  <si>
    <t>Cumplimiento</t>
  </si>
  <si>
    <t>Calif</t>
  </si>
  <si>
    <t>Comentarios</t>
  </si>
  <si>
    <t>Seguimiento vacantes actuales</t>
  </si>
  <si>
    <t>3 Vac. 1 cocina, 1 ESH, 1 Camarista,   (FB,INDDED)</t>
  </si>
  <si>
    <t>Uso de plataformas para posteo de vacantes</t>
  </si>
  <si>
    <t>Limitado en cuanto a plataf (x,instagram,locales)</t>
  </si>
  <si>
    <t>% Rotación actual de plantilla aceptable</t>
  </si>
  <si>
    <t>Ultima 3% no se aprecia motivos recurrentes</t>
  </si>
  <si>
    <t>Inducción de personal de nuevo ingreso</t>
  </si>
  <si>
    <t>Se da pero no demuestra evidencias</t>
  </si>
  <si>
    <t>Inducción al puesto (Formato espejo y líder)</t>
  </si>
  <si>
    <t>Lo llena RH por falta compromiso Jefes Dep</t>
  </si>
  <si>
    <t>Salarios emocionales</t>
  </si>
  <si>
    <t>Firman documento en contratación</t>
  </si>
  <si>
    <t>Conocimiento de Reglamento Inteno</t>
  </si>
  <si>
    <t>Publicado en Areas de Personal</t>
  </si>
  <si>
    <t>Entrega de PIN Nuego Ingreso</t>
  </si>
  <si>
    <t>Se entrega al periodo de Inicio</t>
  </si>
  <si>
    <t>CAJAS</t>
  </si>
  <si>
    <t>CAJA 1 CON SU 2000 MIL PESOS SIN VALES</t>
  </si>
  <si>
    <t>___________</t>
  </si>
  <si>
    <t>Aplicación de evaluación de desempeño</t>
  </si>
  <si>
    <t>Control de Ingresos y vencimientos (excel)</t>
  </si>
  <si>
    <t>Seguimiento puntual de renovaciones</t>
  </si>
  <si>
    <t>manejo 30,60 y 90 (falta contratos pend )</t>
  </si>
  <si>
    <t>Festejo Cumpleaños</t>
  </si>
  <si>
    <t>Celebración Colaborador del Mes</t>
  </si>
  <si>
    <t>Un día de permiso ( uno por todo el Hotel)</t>
  </si>
  <si>
    <t>Celebración aniversarios</t>
  </si>
  <si>
    <t>ok</t>
  </si>
  <si>
    <t>Prevención Social y laboral</t>
  </si>
  <si>
    <t>Integración de comisiones mixtas</t>
  </si>
  <si>
    <t>Falta Actualizar hay Movimientos en Miembros</t>
  </si>
  <si>
    <t>Tarjetas checadoras completas</t>
  </si>
  <si>
    <t>Recibos de nómina completos</t>
  </si>
  <si>
    <t xml:space="preserve">Papeletas de vacaciones </t>
  </si>
  <si>
    <t xml:space="preserve">Tiempo adicional autorizado </t>
  </si>
  <si>
    <t>Áreas comunes colaboradores</t>
  </si>
  <si>
    <t>Comedor de colaboradores</t>
  </si>
  <si>
    <t>Requiere de Mantenimiento y Distribución Horarios</t>
  </si>
  <si>
    <t>Vestidores/Lockers</t>
  </si>
  <si>
    <t>Falta algo de Limpieza y Orden</t>
  </si>
  <si>
    <t>Baños colaboradores</t>
  </si>
  <si>
    <t>limpieza</t>
  </si>
  <si>
    <t>Oficinas</t>
  </si>
  <si>
    <t>Calendario Actividades</t>
  </si>
  <si>
    <t>Actividad de mes</t>
  </si>
  <si>
    <t>en 2025 se alcanzo el 80% del programa</t>
  </si>
  <si>
    <t>Capacitaciones del mes</t>
  </si>
  <si>
    <t>Mismo Caso</t>
  </si>
  <si>
    <t>Documentación completa colaborador</t>
  </si>
  <si>
    <t>Inspección Visual</t>
  </si>
  <si>
    <t>Retención Invonavit</t>
  </si>
  <si>
    <t>Retención Foncacot</t>
  </si>
  <si>
    <t>Aceptación Fondo de ahorro</t>
  </si>
  <si>
    <t>Anexo sindicato</t>
  </si>
  <si>
    <t>Política salarios emocionales</t>
  </si>
  <si>
    <t>Formato inducción</t>
  </si>
  <si>
    <t>Perfil de puesto</t>
  </si>
  <si>
    <t>Contratos determinado/indeterminado</t>
  </si>
  <si>
    <t>Contratos sin Actualizar por falta de Evaluación</t>
  </si>
  <si>
    <t>Higiene personal</t>
  </si>
  <si>
    <t>Uniforme completo (Confome a la política)</t>
  </si>
  <si>
    <t>Personal con Chamarras, u otras prendas Faltan Unif</t>
  </si>
  <si>
    <t>Uso de gafete/PIN nuevo ingreso</t>
  </si>
  <si>
    <t>Uso de Cubrebocas</t>
  </si>
  <si>
    <t>No Aplica/ Salvo Enfermedad Infecto-Contagiosa</t>
  </si>
  <si>
    <t>Vinculaciones y oferta academica</t>
  </si>
  <si>
    <t>Vinculaciones con dependencias gubernamentales</t>
  </si>
  <si>
    <t>Programas de Gobierno</t>
  </si>
  <si>
    <t>Vinculaciones con Universidades Locales</t>
  </si>
  <si>
    <t>Se tienen varios convenios firmados</t>
  </si>
  <si>
    <t>Vinculaciones con dependencias no lucrativas</t>
  </si>
  <si>
    <t>No Evidencia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</si>
</sst>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Calif&quot;\ \ \ \ 0"/>
  </numFmts>
  <fonts count="12">
    <font>
      <sz val="11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b/>
      <sz val="16.0"/>
      <color theme="1"/>
      <name val="Calibri"/>
    </font>
    <font/>
    <font>
      <b/>
      <sz val="11.0"/>
      <color theme="1"/>
      <name val="Calibri"/>
    </font>
    <font>
      <b/>
      <sz val="14.0"/>
      <color theme="1"/>
      <name val="Calibri"/>
    </font>
    <font>
      <sz val="14.0"/>
      <color theme="1"/>
      <name val="Calibri"/>
    </font>
    <font>
      <b/>
      <sz val="12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sz val="12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  <fill>
      <patternFill patternType="solid">
        <fgColor rgb="FFAEABAB"/>
        <bgColor rgb="FFAEABAB"/>
      </patternFill>
    </fill>
    <fill>
      <patternFill patternType="solid">
        <fgColor rgb="FFD6DCE4"/>
        <bgColor rgb="FFD6DCE4"/>
      </patternFill>
    </fill>
    <fill>
      <patternFill patternType="solid">
        <fgColor rgb="FFECECEC"/>
        <bgColor rgb="FFECECEC"/>
      </patternFill>
    </fill>
  </fills>
  <borders count="61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/>
      <top style="medium">
        <color rgb="FF000000"/>
      </top>
      <bottom/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top style="medium">
        <color rgb="FF000000"/>
      </top>
    </border>
    <border>
      <left/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3" fontId="1" numFmtId="0" xfId="0" applyBorder="1" applyFill="1" applyFont="1"/>
    <xf borderId="2" fillId="4" fontId="1" numFmtId="0" xfId="0" applyBorder="1" applyFill="1" applyFont="1"/>
    <xf borderId="2" fillId="0" fontId="1" numFmtId="9" xfId="0" applyBorder="1" applyFont="1" applyNumberFormat="1"/>
    <xf borderId="2" fillId="0" fontId="1" numFmtId="0" xfId="0" applyBorder="1" applyFont="1"/>
    <xf borderId="0" fillId="0" fontId="1" numFmtId="164" xfId="0" applyFont="1" applyNumberFormat="1"/>
    <xf borderId="0" fillId="0" fontId="1" numFmtId="0" xfId="0" applyFont="1"/>
    <xf borderId="1" fillId="2" fontId="1" numFmtId="9" xfId="0" applyBorder="1" applyFont="1" applyNumberFormat="1"/>
    <xf borderId="0" fillId="0" fontId="1" numFmtId="9" xfId="0" applyFont="1" applyNumberFormat="1"/>
    <xf borderId="3" fillId="5" fontId="3" numFmtId="0" xfId="0" applyAlignment="1" applyBorder="1" applyFill="1" applyFon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0" fillId="0" fontId="5" numFmtId="0" xfId="0" applyAlignment="1" applyFont="1">
      <alignment horizontal="center"/>
    </xf>
    <xf borderId="1" fillId="6" fontId="1" numFmtId="0" xfId="0" applyAlignment="1" applyBorder="1" applyFill="1" applyFont="1">
      <alignment horizontal="center" vertical="center"/>
    </xf>
    <xf borderId="6" fillId="6" fontId="1" numFmtId="14" xfId="0" applyAlignment="1" applyBorder="1" applyFont="1" applyNumberFormat="1">
      <alignment horizontal="center" vertical="center"/>
    </xf>
    <xf borderId="7" fillId="0" fontId="4" numFmtId="0" xfId="0" applyBorder="1" applyFont="1"/>
    <xf borderId="8" fillId="6" fontId="1" numFmtId="0" xfId="0" applyAlignment="1" applyBorder="1" applyFont="1">
      <alignment horizontal="center" vertical="center"/>
    </xf>
    <xf borderId="9" fillId="0" fontId="4" numFmtId="0" xfId="0" applyBorder="1" applyFont="1"/>
    <xf borderId="10" fillId="5" fontId="6" numFmtId="0" xfId="0" applyAlignment="1" applyBorder="1" applyFont="1">
      <alignment horizontal="center" vertical="center"/>
    </xf>
    <xf borderId="11" fillId="0" fontId="4" numFmtId="0" xfId="0" applyBorder="1" applyFont="1"/>
    <xf borderId="12" fillId="0" fontId="4" numFmtId="0" xfId="0" applyBorder="1" applyFont="1"/>
    <xf borderId="0" fillId="0" fontId="6" numFmtId="0" xfId="0" applyAlignment="1" applyFont="1">
      <alignment vertical="center"/>
    </xf>
    <xf borderId="0" fillId="0" fontId="6" numFmtId="0" xfId="0" applyAlignment="1" applyFont="1">
      <alignment horizontal="center" shrinkToFit="0" vertical="center" wrapText="1"/>
    </xf>
    <xf borderId="0" fillId="0" fontId="7" numFmtId="9" xfId="0" applyAlignment="1" applyFont="1" applyNumberFormat="1">
      <alignment horizontal="center"/>
    </xf>
    <xf borderId="0" fillId="0" fontId="7" numFmtId="9" xfId="0" applyFont="1" applyNumberFormat="1"/>
    <xf borderId="0" fillId="0" fontId="7" numFmtId="0" xfId="0" applyFont="1"/>
    <xf borderId="3" fillId="5" fontId="6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/>
    </xf>
    <xf borderId="13" fillId="0" fontId="1" numFmtId="0" xfId="0" applyBorder="1" applyFont="1"/>
    <xf borderId="14" fillId="0" fontId="1" numFmtId="0" xfId="0" applyBorder="1" applyFont="1"/>
    <xf borderId="15" fillId="0" fontId="1" numFmtId="0" xfId="0" applyAlignment="1" applyBorder="1" applyFont="1">
      <alignment horizontal="center"/>
    </xf>
    <xf borderId="15" fillId="0" fontId="1" numFmtId="9" xfId="0" applyAlignment="1" applyBorder="1" applyFont="1" applyNumberFormat="1">
      <alignment horizontal="center" vertical="center"/>
    </xf>
    <xf borderId="16" fillId="0" fontId="1" numFmtId="0" xfId="0" applyBorder="1" applyFont="1"/>
    <xf borderId="15" fillId="0" fontId="1" numFmtId="9" xfId="0" applyAlignment="1" applyBorder="1" applyFont="1" applyNumberFormat="1">
      <alignment horizontal="center" readingOrder="0" vertical="center"/>
    </xf>
    <xf borderId="3" fillId="5" fontId="6" numFmtId="9" xfId="0" applyAlignment="1" applyBorder="1" applyFont="1" applyNumberFormat="1">
      <alignment horizontal="center" shrinkToFit="0" vertical="center" wrapText="1"/>
    </xf>
    <xf borderId="3" fillId="5" fontId="8" numFmtId="0" xfId="0" applyAlignment="1" applyBorder="1" applyFont="1">
      <alignment horizontal="center" shrinkToFit="0" wrapText="1"/>
    </xf>
    <xf borderId="0" fillId="0" fontId="1" numFmtId="0" xfId="0" applyAlignment="1" applyFont="1">
      <alignment shrinkToFit="0" wrapText="1"/>
    </xf>
    <xf borderId="17" fillId="0" fontId="5" numFmtId="0" xfId="0" applyAlignment="1" applyBorder="1" applyFont="1">
      <alignment horizontal="center"/>
    </xf>
    <xf borderId="18" fillId="0" fontId="4" numFmtId="0" xfId="0" applyBorder="1" applyFont="1"/>
    <xf borderId="19" fillId="0" fontId="1" numFmtId="0" xfId="0" applyBorder="1" applyFont="1"/>
    <xf borderId="20" fillId="5" fontId="6" numFmtId="0" xfId="0" applyAlignment="1" applyBorder="1" applyFont="1">
      <alignment horizontal="center" vertical="center"/>
    </xf>
    <xf borderId="13" fillId="0" fontId="4" numFmtId="0" xfId="0" applyBorder="1" applyFont="1"/>
    <xf borderId="14" fillId="0" fontId="4" numFmtId="0" xfId="0" applyBorder="1" applyFont="1"/>
    <xf borderId="17" fillId="0" fontId="4" numFmtId="0" xfId="0" applyBorder="1" applyFont="1"/>
    <xf borderId="19" fillId="0" fontId="4" numFmtId="0" xfId="0" applyBorder="1" applyFont="1"/>
    <xf borderId="20" fillId="0" fontId="1" numFmtId="0" xfId="0" applyBorder="1" applyFont="1"/>
    <xf borderId="15" fillId="5" fontId="5" numFmtId="0" xfId="0" applyAlignment="1" applyBorder="1" applyFont="1">
      <alignment horizontal="center" shrinkToFit="0" wrapText="1"/>
    </xf>
    <xf borderId="21" fillId="5" fontId="9" numFmtId="0" xfId="0" applyAlignment="1" applyBorder="1" applyFont="1">
      <alignment horizontal="center" shrinkToFit="0" vertical="center" wrapText="1"/>
    </xf>
    <xf borderId="22" fillId="0" fontId="1" numFmtId="0" xfId="0" applyBorder="1" applyFont="1"/>
    <xf borderId="15" fillId="0" fontId="10" numFmtId="0" xfId="0" applyAlignment="1" applyBorder="1" applyFont="1">
      <alignment vertical="center"/>
    </xf>
    <xf borderId="3" fillId="0" fontId="1" numFmtId="9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shrinkToFit="0" vertical="center" wrapText="1"/>
    </xf>
    <xf borderId="20" fillId="5" fontId="1" numFmtId="0" xfId="0" applyAlignment="1" applyBorder="1" applyFont="1">
      <alignment horizontal="center" vertical="center"/>
    </xf>
    <xf borderId="24" fillId="5" fontId="8" numFmtId="9" xfId="0" applyAlignment="1" applyBorder="1" applyFont="1" applyNumberFormat="1">
      <alignment horizontal="center" vertical="center"/>
    </xf>
    <xf borderId="25" fillId="0" fontId="4" numFmtId="0" xfId="0" applyBorder="1" applyFont="1"/>
    <xf borderId="22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5" numFmtId="0" xfId="0" applyFont="1"/>
    <xf borderId="0" fillId="0" fontId="1" numFmtId="0" xfId="0" applyAlignment="1" applyFont="1">
      <alignment horizontal="left"/>
    </xf>
    <xf borderId="20" fillId="5" fontId="3" numFmtId="0" xfId="0" applyAlignment="1" applyBorder="1" applyFont="1">
      <alignment horizontal="center" vertical="center"/>
    </xf>
    <xf borderId="22" fillId="0" fontId="4" numFmtId="0" xfId="0" applyBorder="1" applyFont="1"/>
    <xf borderId="16" fillId="0" fontId="4" numFmtId="0" xfId="0" applyBorder="1" applyFont="1"/>
    <xf borderId="26" fillId="7" fontId="11" numFmtId="0" xfId="0" applyAlignment="1" applyBorder="1" applyFill="1" applyFont="1">
      <alignment horizontal="center" vertical="center"/>
    </xf>
    <xf borderId="27" fillId="7" fontId="11" numFmtId="0" xfId="0" applyAlignment="1" applyBorder="1" applyFont="1">
      <alignment horizontal="center" vertical="center"/>
    </xf>
    <xf borderId="28" fillId="0" fontId="4" numFmtId="0" xfId="0" applyBorder="1" applyFont="1"/>
    <xf borderId="2" fillId="7" fontId="11" numFmtId="0" xfId="0" applyAlignment="1" applyBorder="1" applyFont="1">
      <alignment horizontal="center" vertical="center"/>
    </xf>
    <xf borderId="10" fillId="5" fontId="5" numFmtId="0" xfId="0" applyAlignment="1" applyBorder="1" applyFont="1">
      <alignment horizontal="center" vertical="center"/>
    </xf>
    <xf borderId="29" fillId="0" fontId="5" numFmtId="0" xfId="0" applyAlignment="1" applyBorder="1" applyFont="1">
      <alignment horizontal="center" vertical="center"/>
    </xf>
    <xf borderId="30" fillId="0" fontId="1" numFmtId="0" xfId="0" applyAlignment="1" applyBorder="1" applyFont="1">
      <alignment horizontal="left" shrinkToFit="0" vertical="center" wrapText="1"/>
    </xf>
    <xf borderId="31" fillId="0" fontId="4" numFmtId="0" xfId="0" applyBorder="1" applyFont="1"/>
    <xf borderId="30" fillId="0" fontId="1" numFmtId="0" xfId="0" applyAlignment="1" applyBorder="1" applyFont="1">
      <alignment horizontal="center" shrinkToFit="0" vertical="center" wrapText="1"/>
    </xf>
    <xf borderId="32" fillId="0" fontId="1" numFmtId="0" xfId="0" applyAlignment="1" applyBorder="1" applyFont="1">
      <alignment horizontal="center" shrinkToFit="0" wrapText="1"/>
    </xf>
    <xf borderId="30" fillId="0" fontId="1" numFmtId="0" xfId="0" applyAlignment="1" applyBorder="1" applyFont="1">
      <alignment horizontal="center"/>
    </xf>
    <xf borderId="33" fillId="0" fontId="4" numFmtId="0" xfId="0" applyBorder="1" applyFont="1"/>
    <xf borderId="34" fillId="0" fontId="5" numFmtId="0" xfId="0" applyAlignment="1" applyBorder="1" applyFont="1">
      <alignment horizontal="center" vertical="center"/>
    </xf>
    <xf borderId="27" fillId="0" fontId="1" numFmtId="0" xfId="0" applyAlignment="1" applyBorder="1" applyFont="1">
      <alignment horizontal="left" shrinkToFit="0" vertical="center" wrapText="1"/>
    </xf>
    <xf borderId="27" fillId="0" fontId="1" numFmtId="0" xfId="0" applyAlignment="1" applyBorder="1" applyFont="1">
      <alignment horizontal="center" shrinkToFit="0" vertical="center" wrapText="1"/>
    </xf>
    <xf borderId="35" fillId="0" fontId="1" numFmtId="0" xfId="0" applyAlignment="1" applyBorder="1" applyFont="1">
      <alignment horizontal="center" shrinkToFit="0" wrapText="1"/>
    </xf>
    <xf borderId="27" fillId="0" fontId="1" numFmtId="0" xfId="0" applyAlignment="1" applyBorder="1" applyFont="1">
      <alignment horizontal="center"/>
    </xf>
    <xf borderId="36" fillId="0" fontId="4" numFmtId="0" xfId="0" applyBorder="1" applyFont="1"/>
    <xf borderId="37" fillId="0" fontId="5" numFmtId="0" xfId="0" applyAlignment="1" applyBorder="1" applyFont="1">
      <alignment horizontal="center" vertical="center"/>
    </xf>
    <xf borderId="38" fillId="0" fontId="1" numFmtId="0" xfId="0" applyAlignment="1" applyBorder="1" applyFont="1">
      <alignment horizontal="left" shrinkToFit="0" vertical="center" wrapText="1"/>
    </xf>
    <xf borderId="39" fillId="0" fontId="4" numFmtId="0" xfId="0" applyBorder="1" applyFont="1"/>
    <xf borderId="38" fillId="0" fontId="1" numFmtId="0" xfId="0" applyAlignment="1" applyBorder="1" applyFont="1">
      <alignment horizontal="center" shrinkToFit="0" vertical="center" wrapText="1"/>
    </xf>
    <xf borderId="40" fillId="0" fontId="1" numFmtId="0" xfId="0" applyAlignment="1" applyBorder="1" applyFont="1">
      <alignment horizontal="center" shrinkToFit="0" wrapText="1"/>
    </xf>
    <xf borderId="38" fillId="0" fontId="1" numFmtId="0" xfId="0" applyAlignment="1" applyBorder="1" applyFont="1">
      <alignment horizontal="center"/>
    </xf>
    <xf borderId="41" fillId="0" fontId="4" numFmtId="0" xfId="0" applyBorder="1" applyFont="1"/>
    <xf borderId="42" fillId="5" fontId="5" numFmtId="0" xfId="0" applyAlignment="1" applyBorder="1" applyFont="1">
      <alignment vertical="center"/>
    </xf>
    <xf borderId="43" fillId="5" fontId="5" numFmtId="0" xfId="0" applyAlignment="1" applyBorder="1" applyFont="1">
      <alignment vertical="center"/>
    </xf>
    <xf borderId="44" fillId="5" fontId="1" numFmtId="0" xfId="0" applyAlignment="1" applyBorder="1" applyFont="1">
      <alignment horizontal="center" shrinkToFit="0" wrapText="1"/>
    </xf>
    <xf borderId="45" fillId="5" fontId="5" numFmtId="2" xfId="0" applyAlignment="1" applyBorder="1" applyFont="1" applyNumberFormat="1">
      <alignment horizontal="center" vertical="center"/>
    </xf>
    <xf borderId="46" fillId="0" fontId="4" numFmtId="0" xfId="0" applyBorder="1" applyFont="1"/>
    <xf borderId="47" fillId="5" fontId="5" numFmtId="0" xfId="0" applyAlignment="1" applyBorder="1" applyFont="1">
      <alignment horizontal="center" vertical="center"/>
    </xf>
    <xf borderId="48" fillId="0" fontId="4" numFmtId="0" xfId="0" applyBorder="1" applyFont="1"/>
    <xf borderId="3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wrapText="1"/>
    </xf>
    <xf borderId="49" fillId="0" fontId="1" numFmtId="0" xfId="0" applyAlignment="1" applyBorder="1" applyFont="1">
      <alignment horizontal="center" shrinkToFit="0" vertical="center" wrapText="1"/>
    </xf>
    <xf borderId="49" fillId="0" fontId="1" numFmtId="0" xfId="0" applyAlignment="1" applyBorder="1" applyFont="1">
      <alignment horizontal="center" shrinkToFit="0" wrapText="1"/>
    </xf>
    <xf borderId="50" fillId="5" fontId="5" numFmtId="0" xfId="0" applyAlignment="1" applyBorder="1" applyFont="1">
      <alignment vertical="center"/>
    </xf>
    <xf borderId="51" fillId="5" fontId="5" numFmtId="0" xfId="0" applyAlignment="1" applyBorder="1" applyFont="1">
      <alignment vertical="center"/>
    </xf>
    <xf borderId="8" fillId="5" fontId="5" numFmtId="0" xfId="0" applyAlignment="1" applyBorder="1" applyFont="1">
      <alignment horizontal="center" vertical="center"/>
    </xf>
    <xf borderId="3" fillId="5" fontId="5" numFmtId="0" xfId="0" applyAlignment="1" applyBorder="1" applyFont="1">
      <alignment horizontal="center" vertical="center"/>
    </xf>
    <xf borderId="52" fillId="5" fontId="5" numFmtId="0" xfId="0" applyAlignment="1" applyBorder="1" applyFont="1">
      <alignment horizontal="center" vertical="center"/>
    </xf>
    <xf borderId="53" fillId="5" fontId="1" numFmtId="0" xfId="0" applyAlignment="1" applyBorder="1" applyFont="1">
      <alignment horizontal="left"/>
    </xf>
    <xf borderId="54" fillId="0" fontId="4" numFmtId="0" xfId="0" applyBorder="1" applyFont="1"/>
    <xf borderId="55" fillId="5" fontId="1" numFmtId="0" xfId="0" applyAlignment="1" applyBorder="1" applyFont="1">
      <alignment horizontal="center" shrinkToFit="0" wrapText="1"/>
    </xf>
    <xf borderId="53" fillId="5" fontId="1" numFmtId="0" xfId="0" applyAlignment="1" applyBorder="1" applyFont="1">
      <alignment horizontal="center"/>
    </xf>
    <xf borderId="56" fillId="0" fontId="4" numFmtId="0" xfId="0" applyBorder="1" applyFont="1"/>
    <xf borderId="30" fillId="0" fontId="1" numFmtId="0" xfId="0" applyAlignment="1" applyBorder="1" applyFont="1">
      <alignment horizontal="left"/>
    </xf>
    <xf borderId="38" fillId="0" fontId="1" numFmtId="0" xfId="0" applyAlignment="1" applyBorder="1" applyFont="1">
      <alignment horizontal="left"/>
    </xf>
    <xf borderId="45" fillId="5" fontId="5" numFmtId="0" xfId="0" applyAlignment="1" applyBorder="1" applyFont="1">
      <alignment horizontal="center" vertical="center"/>
    </xf>
    <xf borderId="57" fillId="5" fontId="9" numFmtId="0" xfId="0" applyAlignment="1" applyBorder="1" applyFont="1">
      <alignment vertical="center"/>
    </xf>
    <xf borderId="45" fillId="5" fontId="5" numFmtId="2" xfId="0" applyAlignment="1" applyBorder="1" applyFont="1" applyNumberFormat="1">
      <alignment horizontal="center" shrinkToFit="0" wrapText="1"/>
    </xf>
    <xf borderId="27" fillId="0" fontId="1" numFmtId="0" xfId="0" applyAlignment="1" applyBorder="1" applyFont="1">
      <alignment horizontal="left"/>
    </xf>
    <xf borderId="45" fillId="5" fontId="1" numFmtId="0" xfId="0" applyAlignment="1" applyBorder="1" applyFont="1">
      <alignment horizontal="center"/>
    </xf>
    <xf borderId="58" fillId="5" fontId="9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 readingOrder="0" shrinkToFit="0" vertical="center" wrapText="1"/>
    </xf>
    <xf borderId="59" fillId="0" fontId="1" numFmtId="0" xfId="0" applyAlignment="1" applyBorder="1" applyFont="1">
      <alignment horizontal="center"/>
    </xf>
    <xf borderId="60" fillId="0" fontId="4" numFmtId="0" xfId="0" applyBorder="1" applyFont="1"/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CALIFICACION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C0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C00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'RECURSOS HUMANOS'!$B$14:$B$17</c:f>
            </c:strRef>
          </c:cat>
          <c:val>
            <c:numRef>
              <c:f>'RECURSOS HUMANOS'!$C$14:$C$17</c:f>
              <c:numCache/>
            </c:numRef>
          </c:val>
        </c:ser>
        <c:axId val="246494690"/>
        <c:axId val="980141982"/>
      </c:barChart>
      <c:catAx>
        <c:axId val="2464946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980141982"/>
      </c:catAx>
      <c:valAx>
        <c:axId val="980141982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24649469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Calificación por Area</a:t>
            </a:r>
          </a:p>
        </c:rich>
      </c:tx>
      <c:layout>
        <c:manualLayout>
          <c:xMode val="edge"/>
          <c:yMode val="edge"/>
          <c:x val="0.26780070256208516"/>
          <c:y val="0.03628704913073588"/>
        </c:manualLayout>
      </c:layout>
      <c:overlay val="0"/>
    </c:title>
    <c:plotArea>
      <c:layout/>
      <c:lineChart>
        <c:ser>
          <c:idx val="0"/>
          <c:order val="0"/>
          <c:tx>
            <c:v>Calif Max</c:v>
          </c:tx>
          <c:spPr>
            <a:ln cmpd="sng" w="28575">
              <a:solidFill>
                <a:srgbClr val="4285F4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285F4">
                  <a:alpha val="100000"/>
                </a:srgbClr>
              </a:solidFill>
              <a:ln cmpd="sng">
                <a:solidFill>
                  <a:srgbClr val="4285F4">
                    <a:alpha val="100000"/>
                  </a:srgbClr>
                </a:solidFill>
              </a:ln>
            </c:spPr>
          </c:marker>
          <c:cat>
            <c:strRef>
              <c:f>'RECURSOS HUMANOS'!$E$25:$E$34</c:f>
            </c:strRef>
          </c:cat>
          <c:val>
            <c:numRef>
              <c:f>'RECURSOS HUMANOS'!$F$25:$F$34</c:f>
              <c:numCache/>
            </c:numRef>
          </c:val>
          <c:smooth val="0"/>
        </c:ser>
        <c:ser>
          <c:idx val="1"/>
          <c:order val="1"/>
          <c:tx>
            <c:v>Calificación supervisión</c:v>
          </c:tx>
          <c:spPr>
            <a:ln cmpd="sng" w="28575">
              <a:solidFill>
                <a:srgbClr val="00206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002060">
                  <a:alpha val="100000"/>
                </a:srgbClr>
              </a:solidFill>
              <a:ln cmpd="sng">
                <a:solidFill>
                  <a:srgbClr val="002060">
                    <a:alpha val="100000"/>
                  </a:srgbClr>
                </a:solidFill>
              </a:ln>
            </c:spPr>
          </c:marker>
          <c:cat>
            <c:strRef>
              <c:f>'RECURSOS HUMANOS'!$E$25:$E$34</c:f>
            </c:strRef>
          </c:cat>
          <c:val>
            <c:numRef>
              <c:f>'RECURSOS HUMANOS'!$G$25:$G$34</c:f>
              <c:numCache/>
            </c:numRef>
          </c:val>
          <c:smooth val="0"/>
        </c:ser>
        <c:axId val="1341453697"/>
        <c:axId val="392968980"/>
      </c:lineChart>
      <c:catAx>
        <c:axId val="13414536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92968980"/>
      </c:catAx>
      <c:valAx>
        <c:axId val="392968980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41453697"/>
        <c:minorUnit val="0.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7140686539852887"/>
          <c:y val="0.06945727615752036"/>
          <c:w val="0.5493829481078605"/>
          <c:h val="0.9305427238424796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1"/>
            <c:spPr>
              <a:solidFill>
                <a:srgbClr val="FF0000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FF0000"/>
              </a:solidFill>
            </c:spPr>
          </c:dPt>
          <c:dPt>
            <c:idx val="4"/>
            <c:spPr>
              <a:solidFill>
                <a:srgbClr val="FF0000"/>
              </a:solidFill>
            </c:spPr>
          </c:dPt>
          <c:dPt>
            <c:idx val="5"/>
            <c:spPr>
              <a:solidFill>
                <a:srgbClr val="FF0000"/>
              </a:solidFill>
            </c:spPr>
          </c:dPt>
          <c:dPt>
            <c:idx val="6"/>
            <c:spPr>
              <a:solidFill>
                <a:srgbClr val="FFC000"/>
              </a:solidFill>
            </c:spPr>
          </c:dPt>
          <c:dPt>
            <c:idx val="7"/>
            <c:spPr>
              <a:solidFill>
                <a:srgbClr val="FFC000"/>
              </a:solidFill>
            </c:spPr>
          </c:dPt>
          <c:dPt>
            <c:idx val="8"/>
            <c:spPr>
              <a:solidFill>
                <a:srgbClr val="00B050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0" i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i="0">
                        <a:solidFill>
                          <a:srgbClr val="000000"/>
                        </a:solidFill>
                        <a:latin typeface="+mn-lt"/>
                      </a:rPr>
                      <a:t>[CELLRANGE]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 lvl="0">
                      <a:defRPr b="0" i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i="0">
                        <a:solidFill>
                          <a:srgbClr val="000000"/>
                        </a:solidFill>
                        <a:latin typeface="+mn-lt"/>
                      </a:rPr>
                      <a:t>[CELLRANGE]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 i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i="0">
                        <a:solidFill>
                          <a:srgbClr val="000000"/>
                        </a:solidFill>
                        <a:latin typeface="+mn-lt"/>
                      </a:rPr>
                      <a:t>[CELLRANGE]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/>
                  <a:lstStyle/>
                  <a:p>
                    <a:pPr lvl="0">
                      <a:defRPr b="0" i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i="0">
                        <a:solidFill>
                          <a:srgbClr val="000000"/>
                        </a:solidFill>
                        <a:latin typeface="+mn-lt"/>
                      </a:rPr>
                      <a:t>[CELLRANGE]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>
                <c:rich>
                  <a:bodyPr/>
                  <a:lstStyle/>
                  <a:p>
                    <a:pPr lvl="0">
                      <a:defRPr b="0" i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i="0">
                        <a:solidFill>
                          <a:srgbClr val="000000"/>
                        </a:solidFill>
                        <a:latin typeface="+mn-lt"/>
                      </a:rPr>
                      <a:t>[CELLRANGE]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0" i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i="0">
                        <a:solidFill>
                          <a:srgbClr val="000000"/>
                        </a:solidFill>
                        <a:latin typeface="+mn-lt"/>
                      </a:rPr>
                      <a:t>[CELLRANGE]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tx>
                <c:rich>
                  <a:bodyPr/>
                  <a:lstStyle/>
                  <a:p>
                    <a:pPr lvl="0">
                      <a:defRPr b="0" i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i="0">
                        <a:solidFill>
                          <a:srgbClr val="000000"/>
                        </a:solidFill>
                        <a:latin typeface="+mn-lt"/>
                      </a:rPr>
                      <a:t>[CELLRANGE]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7"/>
              <c:tx>
                <c:rich>
                  <a:bodyPr/>
                  <a:lstStyle/>
                  <a:p>
                    <a:pPr lvl="0">
                      <a:defRPr b="0" i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i="0">
                        <a:solidFill>
                          <a:srgbClr val="000000"/>
                        </a:solidFill>
                        <a:latin typeface="+mn-lt"/>
                      </a:rPr>
                      <a:t>[CELLRANGE]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8"/>
              <c:tx>
                <c:rich>
                  <a:bodyPr/>
                  <a:lstStyle/>
                  <a:p>
                    <a:pPr lvl="0">
                      <a:defRPr b="0" i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i="0">
                        <a:solidFill>
                          <a:srgbClr val="000000"/>
                        </a:solidFill>
                        <a:latin typeface="+mn-lt"/>
                      </a:rPr>
                      <a:t>[CELLRANGE]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Datos!$B$2:$B$11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8"/>
      </c:doughnutChart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12</xdr:row>
      <xdr:rowOff>57150</xdr:rowOff>
    </xdr:from>
    <xdr:ext cx="6181725" cy="1371600"/>
    <xdr:graphicFrame>
      <xdr:nvGraphicFramePr>
        <xdr:cNvPr id="119902124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28575</xdr:rowOff>
    </xdr:from>
    <xdr:ext cx="3476625" cy="2181225"/>
    <xdr:graphicFrame>
      <xdr:nvGraphicFramePr>
        <xdr:cNvPr id="1590897828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600075</xdr:colOff>
      <xdr:row>3</xdr:row>
      <xdr:rowOff>171450</xdr:rowOff>
    </xdr:from>
    <xdr:ext cx="4295775" cy="1524000"/>
    <xdr:graphicFrame>
      <xdr:nvGraphicFramePr>
        <xdr:cNvPr id="147854827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1219200</xdr:colOff>
      <xdr:row>121</xdr:row>
      <xdr:rowOff>19050</xdr:rowOff>
    </xdr:from>
    <xdr:ext cx="1685925" cy="112395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5"/>
    <col customWidth="1" min="2" max="6" width="8.38"/>
    <col customWidth="1" min="7" max="26" width="11.25"/>
  </cols>
  <sheetData>
    <row r="1" ht="14.25" customHeight="1"/>
    <row r="2" ht="14.25" customHeight="1">
      <c r="A2" s="1" t="s">
        <v>0</v>
      </c>
      <c r="C2" s="2" t="s">
        <v>1</v>
      </c>
    </row>
    <row r="3" ht="14.25" customHeight="1">
      <c r="A3" s="1" t="s">
        <v>2</v>
      </c>
      <c r="C3" s="2" t="s">
        <v>3</v>
      </c>
    </row>
    <row r="4" ht="14.25" customHeight="1">
      <c r="A4" s="1" t="s">
        <v>4</v>
      </c>
      <c r="C4" s="2" t="s">
        <v>5</v>
      </c>
    </row>
    <row r="5" ht="14.25" customHeight="1">
      <c r="A5" s="1" t="s">
        <v>6</v>
      </c>
    </row>
    <row r="6" ht="14.25" customHeight="1">
      <c r="A6" s="1" t="s">
        <v>7</v>
      </c>
    </row>
    <row r="7" ht="14.25" customHeight="1">
      <c r="A7" s="1" t="s">
        <v>8</v>
      </c>
    </row>
    <row r="8" ht="14.25" customHeight="1">
      <c r="A8" s="1" t="s">
        <v>9</v>
      </c>
    </row>
    <row r="9" ht="14.25" customHeight="1">
      <c r="A9" s="3" t="s">
        <v>10</v>
      </c>
    </row>
    <row r="10" ht="14.25" customHeight="1">
      <c r="A10" s="3" t="s">
        <v>11</v>
      </c>
    </row>
    <row r="11" ht="14.25" customHeight="1">
      <c r="A11" s="3" t="s">
        <v>12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9.38"/>
    <col customWidth="1" min="3" max="9" width="8.38"/>
    <col customWidth="1" min="10" max="26" width="11.25"/>
  </cols>
  <sheetData>
    <row r="1" ht="14.25" customHeight="1">
      <c r="A1" s="4" t="s">
        <v>13</v>
      </c>
      <c r="B1" s="4" t="s">
        <v>14</v>
      </c>
    </row>
    <row r="2" ht="14.25" customHeight="1">
      <c r="A2" s="5">
        <v>0.1</v>
      </c>
      <c r="B2" s="6">
        <v>1.0</v>
      </c>
      <c r="E2" s="7"/>
    </row>
    <row r="3" ht="14.25" customHeight="1">
      <c r="A3" s="5">
        <v>0.2</v>
      </c>
      <c r="B3" s="6">
        <v>1.0</v>
      </c>
    </row>
    <row r="4" ht="14.25" customHeight="1">
      <c r="A4" s="5">
        <v>0.3</v>
      </c>
      <c r="B4" s="6">
        <v>1.0</v>
      </c>
    </row>
    <row r="5" ht="14.25" customHeight="1">
      <c r="A5" s="5">
        <v>0.4</v>
      </c>
      <c r="B5" s="6">
        <v>1.0</v>
      </c>
    </row>
    <row r="6" ht="14.25" customHeight="1">
      <c r="A6" s="5">
        <v>0.5</v>
      </c>
      <c r="B6" s="6">
        <v>1.0</v>
      </c>
    </row>
    <row r="7" ht="14.25" customHeight="1">
      <c r="A7" s="5">
        <v>0.6</v>
      </c>
      <c r="B7" s="6">
        <v>1.0</v>
      </c>
    </row>
    <row r="8" ht="14.25" customHeight="1">
      <c r="A8" s="5">
        <v>0.7</v>
      </c>
      <c r="B8" s="6">
        <v>1.0</v>
      </c>
    </row>
    <row r="9" ht="14.25" customHeight="1">
      <c r="A9" s="5">
        <v>0.8</v>
      </c>
      <c r="B9" s="6">
        <v>1.0</v>
      </c>
    </row>
    <row r="10" ht="14.25" customHeight="1">
      <c r="A10" s="5">
        <v>0.9</v>
      </c>
      <c r="B10" s="6">
        <v>1.0</v>
      </c>
      <c r="C10" s="8"/>
      <c r="D10" s="8"/>
      <c r="E10" s="7"/>
      <c r="F10" s="8"/>
      <c r="G10" s="8"/>
      <c r="H10" s="8"/>
      <c r="I10" s="8"/>
    </row>
    <row r="11" ht="14.25" customHeight="1">
      <c r="A11" s="5">
        <v>1.0</v>
      </c>
      <c r="B11" s="6">
        <v>9.0</v>
      </c>
      <c r="C11" s="8"/>
      <c r="D11" s="8"/>
      <c r="E11" s="8"/>
      <c r="F11" s="8"/>
      <c r="G11" s="8"/>
      <c r="H11" s="8"/>
      <c r="I11" s="8"/>
    </row>
    <row r="12" ht="14.25" customHeight="1">
      <c r="A12" s="8"/>
      <c r="B12" s="8"/>
      <c r="C12" s="8"/>
      <c r="D12" s="8"/>
      <c r="E12" s="8"/>
      <c r="F12" s="8"/>
      <c r="G12" s="8"/>
      <c r="H12" s="8"/>
      <c r="I12" s="8"/>
    </row>
    <row r="13" ht="14.25" customHeight="1">
      <c r="A13" s="8"/>
      <c r="B13" s="8"/>
      <c r="C13" s="9">
        <f>AVERAGE('RECURSOS HUMANOS'!G35:H36)</f>
        <v>0.9129444444</v>
      </c>
      <c r="D13" s="10"/>
      <c r="E13" s="10"/>
      <c r="F13" s="8"/>
      <c r="G13" s="8"/>
      <c r="H13" s="8"/>
      <c r="I13" s="8"/>
    </row>
    <row r="14" ht="14.25" customHeight="1">
      <c r="A14" s="8"/>
      <c r="B14" s="8"/>
      <c r="C14" s="8"/>
      <c r="D14" s="8"/>
      <c r="E14" s="8"/>
      <c r="F14" s="8"/>
      <c r="G14" s="8"/>
      <c r="H14" s="8"/>
      <c r="I14" s="8"/>
    </row>
    <row r="15" ht="14.25" customHeight="1">
      <c r="A15" s="8" t="s">
        <v>15</v>
      </c>
      <c r="B15" s="8">
        <f>C13*PI()</f>
        <v>2.86809956</v>
      </c>
      <c r="C15" s="8"/>
      <c r="D15" s="8"/>
      <c r="E15" s="8"/>
      <c r="F15" s="8"/>
      <c r="G15" s="8"/>
      <c r="H15" s="8"/>
      <c r="I15" s="8"/>
    </row>
    <row r="16" ht="14.25" customHeight="1">
      <c r="A16" s="8" t="s">
        <v>15</v>
      </c>
      <c r="B16" s="8">
        <f>Datos!B8*PI()</f>
        <v>3.141592654</v>
      </c>
      <c r="C16" s="8"/>
      <c r="D16" s="8"/>
      <c r="E16" s="8"/>
      <c r="F16" s="8"/>
      <c r="G16" s="8"/>
      <c r="H16" s="8"/>
      <c r="I16" s="8"/>
    </row>
    <row r="17" ht="14.25" customHeight="1"/>
    <row r="18" ht="14.25" customHeight="1">
      <c r="A18" s="6"/>
      <c r="B18" s="6" t="s">
        <v>16</v>
      </c>
      <c r="C18" s="6" t="s">
        <v>17</v>
      </c>
    </row>
    <row r="19" ht="14.25" customHeight="1">
      <c r="A19" s="6" t="s">
        <v>18</v>
      </c>
      <c r="B19" s="6">
        <v>0.0</v>
      </c>
      <c r="C19" s="6">
        <v>0.0</v>
      </c>
    </row>
    <row r="20" ht="14.25" customHeight="1">
      <c r="A20" s="6" t="s">
        <v>19</v>
      </c>
      <c r="B20" s="6">
        <f>COS(B15)*-1</f>
        <v>0.9628333005</v>
      </c>
      <c r="C20" s="6">
        <f>SIN(B15)</f>
        <v>0.2700963447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7B7B"/>
    <pageSetUpPr fitToPage="1"/>
  </sheetPr>
  <sheetViews>
    <sheetView showGridLines="0" workbookViewId="0"/>
  </sheetViews>
  <sheetFormatPr customHeight="1" defaultColWidth="12.63" defaultRowHeight="15.0"/>
  <cols>
    <col customWidth="1" min="1" max="1" width="5.13"/>
    <col customWidth="1" min="2" max="2" width="3.38"/>
    <col customWidth="1" min="3" max="3" width="14.38"/>
    <col customWidth="1" min="4" max="4" width="23.88"/>
    <col customWidth="1" min="5" max="5" width="22.63"/>
    <col customWidth="1" min="6" max="6" width="5.38"/>
    <col customWidth="1" min="7" max="7" width="14.13"/>
    <col customWidth="1" min="8" max="8" width="22.63"/>
    <col customWidth="1" min="9" max="11" width="8.38"/>
    <col customWidth="1" min="12" max="26" width="11.25"/>
  </cols>
  <sheetData>
    <row r="1" ht="26.25" customHeight="1">
      <c r="B1" s="11" t="s">
        <v>20</v>
      </c>
      <c r="C1" s="12"/>
      <c r="D1" s="12"/>
      <c r="E1" s="12"/>
      <c r="F1" s="12"/>
      <c r="G1" s="12"/>
      <c r="H1" s="13"/>
    </row>
    <row r="2" ht="14.25" customHeight="1">
      <c r="B2" s="14" t="s">
        <v>21</v>
      </c>
      <c r="D2" s="15" t="s">
        <v>7</v>
      </c>
      <c r="E2" s="14" t="s">
        <v>22</v>
      </c>
      <c r="F2" s="16">
        <v>46030.0</v>
      </c>
      <c r="G2" s="17"/>
      <c r="H2" s="17"/>
    </row>
    <row r="3" ht="14.25" customHeight="1">
      <c r="B3" s="14" t="s">
        <v>23</v>
      </c>
      <c r="D3" s="15" t="s">
        <v>24</v>
      </c>
      <c r="E3" s="14" t="s">
        <v>25</v>
      </c>
      <c r="F3" s="18" t="s">
        <v>26</v>
      </c>
      <c r="G3" s="19"/>
      <c r="H3" s="19"/>
    </row>
    <row r="4" ht="14.25" customHeight="1">
      <c r="B4" s="20" t="s">
        <v>27</v>
      </c>
      <c r="C4" s="21"/>
      <c r="D4" s="21"/>
      <c r="E4" s="21"/>
      <c r="F4" s="21"/>
      <c r="G4" s="21"/>
      <c r="H4" s="22"/>
    </row>
    <row r="5" ht="14.25" customHeight="1">
      <c r="B5" s="23"/>
      <c r="C5" s="23"/>
      <c r="D5" s="23"/>
      <c r="E5" s="23"/>
      <c r="F5" s="23"/>
      <c r="G5" s="23"/>
      <c r="H5" s="23"/>
    </row>
    <row r="6" ht="18.75" customHeight="1">
      <c r="B6" s="24" t="s">
        <v>28</v>
      </c>
      <c r="D6" s="23"/>
      <c r="E6" s="23"/>
      <c r="F6" s="23"/>
      <c r="G6" s="23"/>
      <c r="H6" s="23"/>
    </row>
    <row r="7" ht="18.75" customHeight="1">
      <c r="D7" s="23"/>
      <c r="E7" s="23"/>
      <c r="F7" s="23"/>
      <c r="G7" s="23"/>
      <c r="H7" s="23"/>
    </row>
    <row r="8" ht="14.25" customHeight="1">
      <c r="B8" s="25">
        <f>Datos!C13</f>
        <v>0.9129444444</v>
      </c>
      <c r="D8" s="23"/>
      <c r="E8" s="23"/>
      <c r="F8" s="23"/>
      <c r="G8" s="26"/>
      <c r="H8" s="27"/>
    </row>
    <row r="9" ht="14.25" customHeight="1">
      <c r="B9" s="27"/>
      <c r="C9" s="27"/>
      <c r="D9" s="23"/>
      <c r="E9" s="23"/>
      <c r="F9" s="23"/>
      <c r="G9" s="27"/>
      <c r="H9" s="27"/>
    </row>
    <row r="10" ht="14.25" customHeight="1">
      <c r="B10" s="23"/>
      <c r="C10" s="23"/>
      <c r="D10" s="23"/>
      <c r="E10" s="23"/>
      <c r="F10" s="23"/>
      <c r="G10" s="23"/>
      <c r="H10" s="23"/>
    </row>
    <row r="11" ht="22.5" customHeight="1">
      <c r="B11" s="8"/>
      <c r="C11" s="8"/>
      <c r="D11" s="8"/>
      <c r="E11" s="8"/>
      <c r="F11" s="8"/>
      <c r="G11" s="8"/>
    </row>
    <row r="12" ht="30.0" customHeight="1">
      <c r="B12" s="28" t="s">
        <v>29</v>
      </c>
      <c r="C12" s="12"/>
      <c r="D12" s="12"/>
      <c r="E12" s="12"/>
      <c r="F12" s="12"/>
      <c r="G12" s="12"/>
      <c r="H12" s="13"/>
    </row>
    <row r="13" ht="14.25" customHeight="1">
      <c r="B13" s="29" t="s">
        <v>30</v>
      </c>
      <c r="C13" s="13"/>
      <c r="D13" s="30"/>
      <c r="E13" s="30"/>
      <c r="F13" s="30"/>
      <c r="G13" s="30"/>
      <c r="H13" s="31"/>
    </row>
    <row r="14" ht="16.5" customHeight="1">
      <c r="B14" s="32" t="s">
        <v>31</v>
      </c>
      <c r="C14" s="33">
        <f>G35</f>
        <v>0.9129444444</v>
      </c>
      <c r="D14" s="8"/>
      <c r="E14" s="8"/>
      <c r="F14" s="8"/>
      <c r="G14" s="8"/>
      <c r="H14" s="34"/>
    </row>
    <row r="15" ht="14.25" customHeight="1">
      <c r="B15" s="32" t="s">
        <v>32</v>
      </c>
      <c r="C15" s="35">
        <v>0.86</v>
      </c>
      <c r="D15" s="8"/>
      <c r="E15" s="8"/>
      <c r="F15" s="8"/>
      <c r="G15" s="8"/>
      <c r="H15" s="34"/>
    </row>
    <row r="16" ht="14.25" customHeight="1">
      <c r="B16" s="32" t="s">
        <v>33</v>
      </c>
      <c r="C16" s="35">
        <v>0.93</v>
      </c>
      <c r="D16" s="8"/>
      <c r="E16" s="8"/>
      <c r="F16" s="8"/>
      <c r="G16" s="8"/>
      <c r="H16" s="34"/>
    </row>
    <row r="17" ht="14.25" customHeight="1">
      <c r="B17" s="32" t="s">
        <v>34</v>
      </c>
      <c r="C17" s="33"/>
      <c r="D17" s="8"/>
      <c r="E17" s="8"/>
      <c r="F17" s="8"/>
      <c r="G17" s="8"/>
      <c r="H17" s="34"/>
    </row>
    <row r="18" ht="14.25" customHeight="1">
      <c r="B18" s="36">
        <f>AVERAGE(C14:C17)</f>
        <v>0.9009814815</v>
      </c>
      <c r="C18" s="13"/>
      <c r="D18" s="8"/>
      <c r="E18" s="8"/>
      <c r="F18" s="8"/>
      <c r="G18" s="8"/>
      <c r="H18" s="34"/>
    </row>
    <row r="19" ht="14.25" customHeight="1">
      <c r="B19" s="37" t="s">
        <v>35</v>
      </c>
      <c r="C19" s="13"/>
      <c r="D19" s="38"/>
      <c r="E19" s="38"/>
      <c r="F19" s="38"/>
      <c r="G19" s="38"/>
      <c r="H19" s="34"/>
    </row>
    <row r="20" ht="14.25" customHeight="1">
      <c r="B20" s="39"/>
      <c r="C20" s="40"/>
      <c r="D20" s="40"/>
      <c r="E20" s="40"/>
      <c r="F20" s="40"/>
      <c r="G20" s="40"/>
      <c r="H20" s="41"/>
    </row>
    <row r="21" ht="14.25" customHeight="1">
      <c r="B21" s="14"/>
    </row>
    <row r="22" ht="14.25" customHeight="1">
      <c r="B22" s="42" t="s">
        <v>36</v>
      </c>
      <c r="C22" s="43"/>
      <c r="D22" s="43"/>
      <c r="E22" s="43"/>
      <c r="F22" s="43"/>
      <c r="G22" s="43"/>
      <c r="H22" s="44"/>
    </row>
    <row r="23" ht="14.25" customHeight="1">
      <c r="B23" s="45"/>
      <c r="C23" s="40"/>
      <c r="D23" s="40"/>
      <c r="E23" s="40"/>
      <c r="F23" s="40"/>
      <c r="G23" s="40"/>
      <c r="H23" s="46"/>
    </row>
    <row r="24" ht="14.25" customHeight="1">
      <c r="B24" s="47"/>
      <c r="C24" s="30"/>
      <c r="D24" s="30"/>
      <c r="E24" s="48" t="s">
        <v>37</v>
      </c>
      <c r="F24" s="48" t="s">
        <v>38</v>
      </c>
      <c r="G24" s="49" t="s">
        <v>39</v>
      </c>
      <c r="H24" s="22"/>
    </row>
    <row r="25" ht="14.25" customHeight="1">
      <c r="B25" s="50"/>
      <c r="E25" s="51" t="s">
        <v>40</v>
      </c>
      <c r="F25" s="33">
        <v>1.0</v>
      </c>
      <c r="G25" s="52">
        <f>F62*0.1</f>
        <v>0.9333333333</v>
      </c>
      <c r="H25" s="13"/>
    </row>
    <row r="26" ht="14.25" customHeight="1">
      <c r="B26" s="50"/>
      <c r="E26" s="51" t="s">
        <v>41</v>
      </c>
      <c r="F26" s="33">
        <v>1.0</v>
      </c>
      <c r="G26" s="52">
        <f>F69*0.1</f>
        <v>0.9</v>
      </c>
      <c r="H26" s="13"/>
    </row>
    <row r="27" ht="15.75" customHeight="1">
      <c r="B27" s="50"/>
      <c r="E27" s="51" t="s">
        <v>42</v>
      </c>
      <c r="F27" s="33">
        <v>1.0</v>
      </c>
      <c r="G27" s="52">
        <f>F75*0.1</f>
        <v>0.9</v>
      </c>
      <c r="H27" s="13"/>
    </row>
    <row r="28" ht="14.25" customHeight="1">
      <c r="B28" s="50"/>
      <c r="E28" s="51" t="s">
        <v>43</v>
      </c>
      <c r="F28" s="33">
        <v>1.0</v>
      </c>
      <c r="G28" s="52">
        <f>F80*0.1</f>
        <v>1</v>
      </c>
      <c r="H28" s="13"/>
    </row>
    <row r="29" ht="14.25" customHeight="1">
      <c r="B29" s="50"/>
      <c r="E29" s="51" t="s">
        <v>44</v>
      </c>
      <c r="F29" s="33">
        <v>1.0</v>
      </c>
      <c r="G29" s="52">
        <f>F87*0.1</f>
        <v>0.96</v>
      </c>
      <c r="H29" s="13"/>
    </row>
    <row r="30" ht="14.25" customHeight="1">
      <c r="B30" s="50"/>
      <c r="E30" s="51" t="s">
        <v>45</v>
      </c>
      <c r="F30" s="33">
        <v>1.0</v>
      </c>
      <c r="G30" s="52">
        <f>F93*0.1</f>
        <v>0.875</v>
      </c>
      <c r="H30" s="13"/>
    </row>
    <row r="31" ht="14.25" customHeight="1">
      <c r="B31" s="50"/>
      <c r="E31" s="53" t="s">
        <v>46</v>
      </c>
      <c r="F31" s="33">
        <v>1.0</v>
      </c>
      <c r="G31" s="52">
        <f>F97*0.1</f>
        <v>0.8</v>
      </c>
      <c r="H31" s="13"/>
    </row>
    <row r="32" ht="14.25" customHeight="1">
      <c r="B32" s="50"/>
      <c r="E32" s="53" t="s">
        <v>47</v>
      </c>
      <c r="F32" s="33">
        <v>1.0</v>
      </c>
      <c r="G32" s="52">
        <f>F108*0.1</f>
        <v>0.9777777778</v>
      </c>
      <c r="H32" s="13"/>
    </row>
    <row r="33" ht="14.25" customHeight="1">
      <c r="B33" s="50"/>
      <c r="E33" s="53" t="s">
        <v>48</v>
      </c>
      <c r="F33" s="33">
        <v>1.0</v>
      </c>
      <c r="G33" s="52">
        <f>F114*0.1</f>
        <v>0.95</v>
      </c>
      <c r="H33" s="13"/>
    </row>
    <row r="34" ht="14.25" customHeight="1">
      <c r="B34" s="50"/>
      <c r="E34" s="53" t="s">
        <v>49</v>
      </c>
      <c r="F34" s="33">
        <v>1.0</v>
      </c>
      <c r="G34" s="52">
        <f>F119*0.1</f>
        <v>0.8333333333</v>
      </c>
      <c r="H34" s="13"/>
    </row>
    <row r="35" ht="14.25" customHeight="1">
      <c r="B35" s="50"/>
      <c r="E35" s="54" t="s">
        <v>50</v>
      </c>
      <c r="F35" s="44"/>
      <c r="G35" s="55">
        <f>AVERAGE(G25:H34)</f>
        <v>0.9129444444</v>
      </c>
      <c r="H35" s="44"/>
    </row>
    <row r="36" ht="14.25" customHeight="1">
      <c r="B36" s="50"/>
      <c r="E36" s="45"/>
      <c r="F36" s="46"/>
      <c r="G36" s="56"/>
      <c r="H36" s="46"/>
    </row>
    <row r="37" ht="14.25" customHeight="1">
      <c r="B37" s="57"/>
      <c r="H37" s="34"/>
    </row>
    <row r="38" ht="14.25" customHeight="1">
      <c r="B38" s="45"/>
      <c r="C38" s="40"/>
      <c r="D38" s="40"/>
      <c r="E38" s="40"/>
      <c r="F38" s="40"/>
      <c r="G38" s="40"/>
      <c r="H38" s="41"/>
    </row>
    <row r="39" ht="14.25" customHeight="1">
      <c r="B39" s="58"/>
      <c r="C39" s="58"/>
      <c r="D39" s="58"/>
      <c r="E39" s="58"/>
      <c r="F39" s="58"/>
      <c r="G39" s="58"/>
      <c r="H39" s="8"/>
    </row>
    <row r="40" ht="14.25" customHeight="1">
      <c r="B40" s="58"/>
      <c r="C40" s="58"/>
      <c r="D40" s="58"/>
      <c r="E40" s="58"/>
      <c r="F40" s="58"/>
      <c r="G40" s="58"/>
      <c r="H40" s="8"/>
    </row>
    <row r="41" ht="14.25" customHeight="1">
      <c r="B41" s="59" t="s">
        <v>51</v>
      </c>
      <c r="C41" s="59"/>
      <c r="D41" s="59"/>
    </row>
    <row r="42" ht="14.25" customHeight="1">
      <c r="B42" s="59"/>
      <c r="C42" s="59"/>
      <c r="D42" s="59"/>
    </row>
    <row r="43" ht="14.25" customHeight="1">
      <c r="B43" s="60" t="s">
        <v>52</v>
      </c>
    </row>
    <row r="44" ht="14.25" customHeight="1">
      <c r="B44" s="60" t="s">
        <v>53</v>
      </c>
    </row>
    <row r="45" ht="14.25" customHeight="1">
      <c r="B45" s="2" t="s">
        <v>54</v>
      </c>
    </row>
    <row r="46" ht="14.25" customHeight="1">
      <c r="B46" s="2" t="s">
        <v>55</v>
      </c>
    </row>
    <row r="47" ht="14.25" customHeight="1">
      <c r="B47" s="2" t="s">
        <v>56</v>
      </c>
    </row>
    <row r="48" ht="14.25" customHeight="1">
      <c r="B48" s="2" t="s">
        <v>57</v>
      </c>
    </row>
    <row r="49" ht="14.25" customHeight="1">
      <c r="B49" s="2" t="s">
        <v>58</v>
      </c>
    </row>
    <row r="50" ht="14.25" customHeight="1">
      <c r="B50" s="2" t="s">
        <v>59</v>
      </c>
    </row>
    <row r="51" ht="14.25" customHeight="1"/>
    <row r="52" ht="14.25" customHeight="1"/>
    <row r="53" ht="15.0" customHeight="1"/>
    <row r="54" ht="15.0" customHeight="1"/>
    <row r="55" ht="15.0" customHeight="1">
      <c r="B55" s="61" t="s">
        <v>60</v>
      </c>
      <c r="C55" s="43"/>
      <c r="D55" s="43"/>
      <c r="E55" s="43"/>
      <c r="F55" s="43"/>
      <c r="G55" s="43"/>
      <c r="H55" s="44"/>
    </row>
    <row r="56" ht="15.0" customHeight="1">
      <c r="B56" s="62"/>
      <c r="H56" s="63"/>
    </row>
    <row r="57" ht="15.0" customHeight="1">
      <c r="B57" s="64" t="s">
        <v>61</v>
      </c>
      <c r="C57" s="65" t="s">
        <v>62</v>
      </c>
      <c r="D57" s="66"/>
      <c r="E57" s="67" t="s">
        <v>63</v>
      </c>
      <c r="F57" s="67" t="s">
        <v>64</v>
      </c>
      <c r="G57" s="65" t="s">
        <v>65</v>
      </c>
      <c r="H57" s="66"/>
    </row>
    <row r="58" ht="14.25" customHeight="1">
      <c r="B58" s="68" t="s">
        <v>40</v>
      </c>
      <c r="C58" s="21"/>
      <c r="D58" s="21"/>
      <c r="E58" s="21"/>
      <c r="F58" s="21"/>
      <c r="G58" s="21"/>
      <c r="H58" s="22"/>
    </row>
    <row r="59" ht="15.0" customHeight="1">
      <c r="B59" s="69">
        <f>1</f>
        <v>1</v>
      </c>
      <c r="C59" s="70" t="s">
        <v>66</v>
      </c>
      <c r="D59" s="71"/>
      <c r="E59" s="72" t="s">
        <v>1</v>
      </c>
      <c r="F59" s="73">
        <v>10.0</v>
      </c>
      <c r="G59" s="74" t="s">
        <v>67</v>
      </c>
      <c r="H59" s="75"/>
    </row>
    <row r="60" ht="15.0" customHeight="1">
      <c r="B60" s="76">
        <v>2.0</v>
      </c>
      <c r="C60" s="77" t="s">
        <v>68</v>
      </c>
      <c r="D60" s="66"/>
      <c r="E60" s="78" t="s">
        <v>1</v>
      </c>
      <c r="F60" s="79">
        <v>8.0</v>
      </c>
      <c r="G60" s="80" t="s">
        <v>69</v>
      </c>
      <c r="H60" s="81"/>
    </row>
    <row r="61" ht="15.0" customHeight="1">
      <c r="B61" s="82">
        <v>3.0</v>
      </c>
      <c r="C61" s="83" t="s">
        <v>70</v>
      </c>
      <c r="D61" s="84"/>
      <c r="E61" s="85" t="s">
        <v>1</v>
      </c>
      <c r="F61" s="86">
        <v>10.0</v>
      </c>
      <c r="G61" s="87" t="s">
        <v>71</v>
      </c>
      <c r="H61" s="88"/>
    </row>
    <row r="62" ht="14.25" customHeight="1">
      <c r="B62" s="89"/>
      <c r="C62" s="90"/>
      <c r="D62" s="90"/>
      <c r="E62" s="91"/>
      <c r="F62" s="92">
        <f>AVERAGE(F59:F61)</f>
        <v>9.333333333</v>
      </c>
      <c r="G62" s="19"/>
      <c r="H62" s="93"/>
    </row>
    <row r="63" ht="14.25" customHeight="1">
      <c r="B63" s="94" t="s">
        <v>41</v>
      </c>
      <c r="C63" s="17"/>
      <c r="D63" s="17"/>
      <c r="E63" s="17"/>
      <c r="F63" s="17"/>
      <c r="G63" s="17"/>
      <c r="H63" s="95"/>
    </row>
    <row r="64" ht="14.25" customHeight="1">
      <c r="B64" s="69">
        <f>1</f>
        <v>1</v>
      </c>
      <c r="C64" s="70" t="s">
        <v>72</v>
      </c>
      <c r="D64" s="71"/>
      <c r="E64" s="96" t="s">
        <v>1</v>
      </c>
      <c r="F64" s="73">
        <v>7.0</v>
      </c>
      <c r="G64" s="74" t="s">
        <v>73</v>
      </c>
      <c r="H64" s="75"/>
    </row>
    <row r="65" ht="14.25" customHeight="1">
      <c r="B65" s="76">
        <f t="shared" ref="B65:B68" si="1">B64+1</f>
        <v>2</v>
      </c>
      <c r="C65" s="77" t="s">
        <v>74</v>
      </c>
      <c r="D65" s="66"/>
      <c r="E65" s="97" t="s">
        <v>1</v>
      </c>
      <c r="F65" s="98">
        <v>8.0</v>
      </c>
      <c r="G65" s="80" t="s">
        <v>75</v>
      </c>
      <c r="H65" s="81"/>
    </row>
    <row r="66" ht="14.25" customHeight="1">
      <c r="B66" s="76">
        <f t="shared" si="1"/>
        <v>3</v>
      </c>
      <c r="C66" s="77" t="s">
        <v>76</v>
      </c>
      <c r="D66" s="66"/>
      <c r="E66" s="97" t="s">
        <v>1</v>
      </c>
      <c r="F66" s="98">
        <v>10.0</v>
      </c>
      <c r="G66" s="80" t="s">
        <v>77</v>
      </c>
      <c r="H66" s="81"/>
      <c r="I66" s="59"/>
      <c r="J66" s="59"/>
      <c r="K66" s="59"/>
    </row>
    <row r="67" ht="14.25" customHeight="1">
      <c r="B67" s="76">
        <f t="shared" si="1"/>
        <v>4</v>
      </c>
      <c r="C67" s="77" t="s">
        <v>78</v>
      </c>
      <c r="D67" s="66"/>
      <c r="E67" s="97" t="s">
        <v>1</v>
      </c>
      <c r="F67" s="98">
        <v>10.0</v>
      </c>
      <c r="G67" s="80" t="s">
        <v>79</v>
      </c>
      <c r="H67" s="81"/>
      <c r="I67" s="58"/>
    </row>
    <row r="68" ht="14.25" customHeight="1">
      <c r="B68" s="82">
        <f t="shared" si="1"/>
        <v>5</v>
      </c>
      <c r="C68" s="83" t="s">
        <v>80</v>
      </c>
      <c r="D68" s="84"/>
      <c r="E68" s="99" t="s">
        <v>1</v>
      </c>
      <c r="F68" s="100">
        <v>10.0</v>
      </c>
      <c r="G68" s="87" t="s">
        <v>81</v>
      </c>
      <c r="H68" s="88"/>
      <c r="I68" s="58"/>
    </row>
    <row r="69" ht="14.25" customHeight="1">
      <c r="B69" s="101"/>
      <c r="C69" s="102"/>
      <c r="D69" s="103"/>
      <c r="E69" s="93"/>
      <c r="F69" s="92">
        <f>AVERAGE(F64:F68)</f>
        <v>9</v>
      </c>
      <c r="G69" s="19"/>
      <c r="H69" s="93"/>
    </row>
    <row r="70" ht="14.25" hidden="1" customHeight="1">
      <c r="B70" s="104" t="s">
        <v>82</v>
      </c>
      <c r="C70" s="12"/>
      <c r="D70" s="12"/>
      <c r="E70" s="12"/>
      <c r="F70" s="12"/>
      <c r="G70" s="12"/>
      <c r="H70" s="13"/>
    </row>
    <row r="71" ht="14.25" hidden="1" customHeight="1">
      <c r="B71" s="105">
        <f>1</f>
        <v>1</v>
      </c>
      <c r="C71" s="106" t="s">
        <v>83</v>
      </c>
      <c r="D71" s="107"/>
      <c r="E71" s="108" t="s">
        <v>84</v>
      </c>
      <c r="F71" s="108">
        <f>IF(E71="CUMPLE",10, 0)</f>
        <v>0</v>
      </c>
      <c r="G71" s="109"/>
      <c r="H71" s="110"/>
    </row>
    <row r="72" ht="14.25" customHeight="1">
      <c r="B72" s="68" t="s">
        <v>42</v>
      </c>
      <c r="C72" s="21"/>
      <c r="D72" s="21"/>
      <c r="E72" s="21"/>
      <c r="F72" s="21"/>
      <c r="G72" s="21"/>
      <c r="H72" s="22"/>
    </row>
    <row r="73" ht="14.25" customHeight="1">
      <c r="B73" s="69">
        <f>1</f>
        <v>1</v>
      </c>
      <c r="C73" s="111" t="s">
        <v>85</v>
      </c>
      <c r="D73" s="71"/>
      <c r="E73" s="96" t="s">
        <v>1</v>
      </c>
      <c r="F73" s="73">
        <v>10.0</v>
      </c>
      <c r="G73" s="74" t="s">
        <v>86</v>
      </c>
      <c r="H73" s="75"/>
    </row>
    <row r="74" ht="14.25" customHeight="1">
      <c r="B74" s="82">
        <f>B73+1</f>
        <v>2</v>
      </c>
      <c r="C74" s="112" t="s">
        <v>87</v>
      </c>
      <c r="D74" s="84"/>
      <c r="E74" s="99" t="s">
        <v>1</v>
      </c>
      <c r="F74" s="100">
        <v>8.0</v>
      </c>
      <c r="G74" s="87" t="s">
        <v>88</v>
      </c>
      <c r="H74" s="88"/>
    </row>
    <row r="75" ht="14.25" customHeight="1">
      <c r="B75" s="113"/>
      <c r="C75" s="19"/>
      <c r="D75" s="93"/>
      <c r="E75" s="114" t="s">
        <v>30</v>
      </c>
      <c r="F75" s="115">
        <f>AVERAGE(F73:F74)</f>
        <v>9</v>
      </c>
      <c r="G75" s="19"/>
      <c r="H75" s="93"/>
    </row>
    <row r="76" ht="14.25" customHeight="1">
      <c r="B76" s="68" t="s">
        <v>43</v>
      </c>
      <c r="C76" s="21"/>
      <c r="D76" s="21"/>
      <c r="E76" s="21"/>
      <c r="F76" s="21"/>
      <c r="G76" s="21"/>
      <c r="H76" s="22"/>
    </row>
    <row r="77" ht="14.25" customHeight="1">
      <c r="B77" s="69">
        <f>1</f>
        <v>1</v>
      </c>
      <c r="C77" s="111" t="s">
        <v>89</v>
      </c>
      <c r="D77" s="71"/>
      <c r="E77" s="96" t="s">
        <v>1</v>
      </c>
      <c r="F77" s="73">
        <f>IF(E77="CUMPLE",10, 0)</f>
        <v>10</v>
      </c>
      <c r="G77" s="74"/>
      <c r="H77" s="75"/>
    </row>
    <row r="78" ht="14.25" customHeight="1">
      <c r="B78" s="76">
        <f>B77+1</f>
        <v>2</v>
      </c>
      <c r="C78" s="116" t="s">
        <v>90</v>
      </c>
      <c r="D78" s="66"/>
      <c r="E78" s="97" t="s">
        <v>1</v>
      </c>
      <c r="F78" s="98">
        <v>10.0</v>
      </c>
      <c r="G78" s="80" t="s">
        <v>91</v>
      </c>
      <c r="H78" s="81"/>
    </row>
    <row r="79" ht="14.25" customHeight="1">
      <c r="B79" s="82">
        <v>3.0</v>
      </c>
      <c r="C79" s="112" t="s">
        <v>92</v>
      </c>
      <c r="D79" s="84"/>
      <c r="E79" s="99" t="s">
        <v>1</v>
      </c>
      <c r="F79" s="100">
        <f>IF(E79="CUMPLE",10, 0)</f>
        <v>10</v>
      </c>
      <c r="G79" s="87" t="s">
        <v>93</v>
      </c>
      <c r="H79" s="88"/>
    </row>
    <row r="80" ht="14.25" customHeight="1">
      <c r="B80" s="117"/>
      <c r="C80" s="19"/>
      <c r="D80" s="93"/>
      <c r="E80" s="118" t="s">
        <v>30</v>
      </c>
      <c r="F80" s="115">
        <f>AVERAGE(F77:F79)</f>
        <v>10</v>
      </c>
      <c r="G80" s="19"/>
      <c r="H80" s="93"/>
    </row>
    <row r="81" ht="14.25" customHeight="1">
      <c r="B81" s="68" t="s">
        <v>94</v>
      </c>
      <c r="C81" s="21"/>
      <c r="D81" s="21"/>
      <c r="E81" s="21"/>
      <c r="F81" s="21"/>
      <c r="G81" s="21"/>
      <c r="H81" s="22"/>
    </row>
    <row r="82" ht="14.25" customHeight="1">
      <c r="B82" s="69">
        <f>1</f>
        <v>1</v>
      </c>
      <c r="C82" s="111" t="s">
        <v>95</v>
      </c>
      <c r="D82" s="71"/>
      <c r="E82" s="96" t="s">
        <v>1</v>
      </c>
      <c r="F82" s="73">
        <v>8.0</v>
      </c>
      <c r="G82" s="74" t="s">
        <v>96</v>
      </c>
      <c r="H82" s="75"/>
    </row>
    <row r="83" ht="14.25" customHeight="1">
      <c r="B83" s="76">
        <f>B82+1</f>
        <v>2</v>
      </c>
      <c r="C83" s="116" t="s">
        <v>97</v>
      </c>
      <c r="D83" s="66"/>
      <c r="E83" s="97" t="s">
        <v>1</v>
      </c>
      <c r="F83" s="98">
        <v>10.0</v>
      </c>
      <c r="G83" s="80" t="s">
        <v>93</v>
      </c>
      <c r="H83" s="81"/>
    </row>
    <row r="84" ht="14.25" customHeight="1">
      <c r="B84" s="76">
        <v>3.0</v>
      </c>
      <c r="C84" s="116" t="s">
        <v>98</v>
      </c>
      <c r="D84" s="66"/>
      <c r="E84" s="97" t="s">
        <v>1</v>
      </c>
      <c r="F84" s="98">
        <v>10.0</v>
      </c>
      <c r="G84" s="80" t="s">
        <v>93</v>
      </c>
      <c r="H84" s="81"/>
    </row>
    <row r="85" ht="14.25" customHeight="1">
      <c r="B85" s="76">
        <v>4.0</v>
      </c>
      <c r="C85" s="116" t="s">
        <v>99</v>
      </c>
      <c r="D85" s="66"/>
      <c r="E85" s="97" t="s">
        <v>1</v>
      </c>
      <c r="F85" s="98">
        <v>10.0</v>
      </c>
      <c r="G85" s="80" t="s">
        <v>93</v>
      </c>
      <c r="H85" s="81"/>
    </row>
    <row r="86" ht="14.25" customHeight="1">
      <c r="B86" s="82">
        <v>5.0</v>
      </c>
      <c r="C86" s="112" t="s">
        <v>100</v>
      </c>
      <c r="D86" s="84"/>
      <c r="E86" s="99" t="s">
        <v>1</v>
      </c>
      <c r="F86" s="100">
        <v>10.0</v>
      </c>
      <c r="G86" s="87" t="s">
        <v>93</v>
      </c>
      <c r="H86" s="88"/>
    </row>
    <row r="87" ht="14.25" customHeight="1">
      <c r="B87" s="117"/>
      <c r="C87" s="19"/>
      <c r="D87" s="93"/>
      <c r="E87" s="118" t="s">
        <v>30</v>
      </c>
      <c r="F87" s="115">
        <f>AVERAGE(F82:F86)</f>
        <v>9.6</v>
      </c>
      <c r="G87" s="19"/>
      <c r="H87" s="93"/>
    </row>
    <row r="88" ht="14.25" customHeight="1">
      <c r="B88" s="68" t="s">
        <v>101</v>
      </c>
      <c r="C88" s="21"/>
      <c r="D88" s="21"/>
      <c r="E88" s="21"/>
      <c r="F88" s="21"/>
      <c r="G88" s="21"/>
      <c r="H88" s="22"/>
    </row>
    <row r="89" ht="14.25" customHeight="1">
      <c r="B89" s="69">
        <f>1</f>
        <v>1</v>
      </c>
      <c r="C89" s="111" t="s">
        <v>102</v>
      </c>
      <c r="D89" s="71"/>
      <c r="E89" s="96" t="s">
        <v>1</v>
      </c>
      <c r="F89" s="73">
        <v>8.0</v>
      </c>
      <c r="G89" s="74" t="s">
        <v>103</v>
      </c>
      <c r="H89" s="75"/>
    </row>
    <row r="90" ht="14.25" customHeight="1">
      <c r="B90" s="76">
        <f>B89+1</f>
        <v>2</v>
      </c>
      <c r="C90" s="116" t="s">
        <v>104</v>
      </c>
      <c r="D90" s="66"/>
      <c r="E90" s="97" t="s">
        <v>1</v>
      </c>
      <c r="F90" s="98">
        <v>8.0</v>
      </c>
      <c r="G90" s="80" t="s">
        <v>105</v>
      </c>
      <c r="H90" s="81"/>
    </row>
    <row r="91" ht="14.25" customHeight="1">
      <c r="B91" s="76">
        <v>3.0</v>
      </c>
      <c r="C91" s="116" t="s">
        <v>106</v>
      </c>
      <c r="D91" s="66"/>
      <c r="E91" s="97" t="s">
        <v>1</v>
      </c>
      <c r="F91" s="98">
        <v>9.0</v>
      </c>
      <c r="G91" s="80" t="s">
        <v>107</v>
      </c>
      <c r="H91" s="81"/>
    </row>
    <row r="92" ht="14.25" customHeight="1">
      <c r="B92" s="82">
        <v>4.0</v>
      </c>
      <c r="C92" s="112" t="s">
        <v>108</v>
      </c>
      <c r="D92" s="84"/>
      <c r="E92" s="99" t="s">
        <v>1</v>
      </c>
      <c r="F92" s="100">
        <v>10.0</v>
      </c>
      <c r="G92" s="87" t="s">
        <v>93</v>
      </c>
      <c r="H92" s="88"/>
    </row>
    <row r="93" ht="14.25" customHeight="1">
      <c r="B93" s="117"/>
      <c r="C93" s="19"/>
      <c r="D93" s="93"/>
      <c r="E93" s="118" t="s">
        <v>30</v>
      </c>
      <c r="F93" s="115">
        <f>AVERAGE(F89:F92)</f>
        <v>8.75</v>
      </c>
      <c r="G93" s="19"/>
      <c r="H93" s="93"/>
    </row>
    <row r="94" ht="14.25" customHeight="1">
      <c r="B94" s="68" t="s">
        <v>109</v>
      </c>
      <c r="C94" s="21"/>
      <c r="D94" s="21"/>
      <c r="E94" s="21"/>
      <c r="F94" s="21"/>
      <c r="G94" s="21"/>
      <c r="H94" s="22"/>
    </row>
    <row r="95" ht="14.25" customHeight="1">
      <c r="B95" s="69">
        <f>1</f>
        <v>1</v>
      </c>
      <c r="C95" s="111" t="s">
        <v>110</v>
      </c>
      <c r="D95" s="71"/>
      <c r="E95" s="96" t="s">
        <v>1</v>
      </c>
      <c r="F95" s="73">
        <v>8.0</v>
      </c>
      <c r="G95" s="74" t="s">
        <v>111</v>
      </c>
      <c r="H95" s="75"/>
    </row>
    <row r="96" ht="14.25" customHeight="1">
      <c r="B96" s="82">
        <f>B95+1</f>
        <v>2</v>
      </c>
      <c r="C96" s="112" t="s">
        <v>112</v>
      </c>
      <c r="D96" s="84"/>
      <c r="E96" s="99" t="s">
        <v>1</v>
      </c>
      <c r="F96" s="100">
        <v>8.0</v>
      </c>
      <c r="G96" s="87" t="s">
        <v>113</v>
      </c>
      <c r="H96" s="88"/>
    </row>
    <row r="97" ht="14.25" customHeight="1">
      <c r="B97" s="117"/>
      <c r="C97" s="19"/>
      <c r="D97" s="93"/>
      <c r="E97" s="118" t="s">
        <v>30</v>
      </c>
      <c r="F97" s="115">
        <f>AVERAGE(F95:F96)</f>
        <v>8</v>
      </c>
      <c r="G97" s="19"/>
      <c r="H97" s="93"/>
    </row>
    <row r="98" ht="14.25" customHeight="1">
      <c r="B98" s="68" t="s">
        <v>47</v>
      </c>
      <c r="C98" s="21"/>
      <c r="D98" s="21"/>
      <c r="E98" s="21"/>
      <c r="F98" s="21"/>
      <c r="G98" s="21"/>
      <c r="H98" s="22"/>
    </row>
    <row r="99" ht="14.25" customHeight="1">
      <c r="B99" s="69">
        <f>1</f>
        <v>1</v>
      </c>
      <c r="C99" s="111" t="s">
        <v>114</v>
      </c>
      <c r="D99" s="71"/>
      <c r="E99" s="96" t="s">
        <v>1</v>
      </c>
      <c r="F99" s="73">
        <v>10.0</v>
      </c>
      <c r="G99" s="74" t="s">
        <v>115</v>
      </c>
      <c r="H99" s="75"/>
    </row>
    <row r="100" ht="14.25" customHeight="1">
      <c r="B100" s="76">
        <f>B99+1</f>
        <v>2</v>
      </c>
      <c r="C100" s="116" t="s">
        <v>116</v>
      </c>
      <c r="D100" s="66"/>
      <c r="E100" s="97" t="s">
        <v>1</v>
      </c>
      <c r="F100" s="98">
        <v>10.0</v>
      </c>
      <c r="G100" s="80" t="s">
        <v>115</v>
      </c>
      <c r="H100" s="81"/>
    </row>
    <row r="101" ht="14.25" customHeight="1">
      <c r="B101" s="76">
        <v>3.0</v>
      </c>
      <c r="C101" s="116" t="s">
        <v>117</v>
      </c>
      <c r="D101" s="66"/>
      <c r="E101" s="97" t="s">
        <v>1</v>
      </c>
      <c r="F101" s="98">
        <v>10.0</v>
      </c>
      <c r="G101" s="80" t="s">
        <v>115</v>
      </c>
      <c r="H101" s="81"/>
    </row>
    <row r="102" ht="14.25" customHeight="1">
      <c r="B102" s="76">
        <v>4.0</v>
      </c>
      <c r="C102" s="116" t="s">
        <v>118</v>
      </c>
      <c r="D102" s="66"/>
      <c r="E102" s="97" t="s">
        <v>1</v>
      </c>
      <c r="F102" s="98">
        <v>10.0</v>
      </c>
      <c r="G102" s="80" t="s">
        <v>115</v>
      </c>
      <c r="H102" s="81"/>
    </row>
    <row r="103" ht="14.25" customHeight="1">
      <c r="B103" s="76">
        <v>5.0</v>
      </c>
      <c r="C103" s="116" t="s">
        <v>119</v>
      </c>
      <c r="D103" s="66"/>
      <c r="E103" s="97" t="s">
        <v>1</v>
      </c>
      <c r="F103" s="98">
        <v>10.0</v>
      </c>
      <c r="G103" s="80" t="s">
        <v>115</v>
      </c>
      <c r="H103" s="81"/>
    </row>
    <row r="104" ht="14.25" customHeight="1">
      <c r="B104" s="76">
        <v>6.0</v>
      </c>
      <c r="C104" s="116" t="s">
        <v>120</v>
      </c>
      <c r="D104" s="66"/>
      <c r="E104" s="119" t="s">
        <v>3</v>
      </c>
      <c r="F104" s="98">
        <v>10.0</v>
      </c>
      <c r="G104" s="80" t="s">
        <v>115</v>
      </c>
      <c r="H104" s="81"/>
    </row>
    <row r="105" ht="14.25" customHeight="1">
      <c r="B105" s="76">
        <v>7.0</v>
      </c>
      <c r="C105" s="116" t="s">
        <v>121</v>
      </c>
      <c r="D105" s="66"/>
      <c r="E105" s="119" t="s">
        <v>3</v>
      </c>
      <c r="F105" s="98">
        <v>10.0</v>
      </c>
      <c r="G105" s="80" t="s">
        <v>115</v>
      </c>
      <c r="H105" s="81"/>
    </row>
    <row r="106" ht="14.25" customHeight="1">
      <c r="B106" s="76">
        <v>8.0</v>
      </c>
      <c r="C106" s="116" t="s">
        <v>122</v>
      </c>
      <c r="D106" s="66"/>
      <c r="E106" s="97" t="s">
        <v>1</v>
      </c>
      <c r="F106" s="98">
        <v>10.0</v>
      </c>
      <c r="G106" s="120" t="s">
        <v>115</v>
      </c>
      <c r="H106" s="121"/>
    </row>
    <row r="107" ht="14.25" customHeight="1">
      <c r="B107" s="82">
        <v>9.0</v>
      </c>
      <c r="C107" s="112" t="s">
        <v>123</v>
      </c>
      <c r="D107" s="84"/>
      <c r="E107" s="99" t="s">
        <v>1</v>
      </c>
      <c r="F107" s="100">
        <v>8.0</v>
      </c>
      <c r="G107" s="87" t="s">
        <v>124</v>
      </c>
      <c r="H107" s="88"/>
    </row>
    <row r="108" ht="14.25" customHeight="1">
      <c r="B108" s="117"/>
      <c r="C108" s="19"/>
      <c r="D108" s="93"/>
      <c r="E108" s="118" t="s">
        <v>30</v>
      </c>
      <c r="F108" s="115">
        <f>AVERAGE(F99:F107)</f>
        <v>9.777777778</v>
      </c>
      <c r="G108" s="19"/>
      <c r="H108" s="93"/>
    </row>
    <row r="109" ht="14.25" customHeight="1">
      <c r="B109" s="68" t="s">
        <v>48</v>
      </c>
      <c r="C109" s="21"/>
      <c r="D109" s="21"/>
      <c r="E109" s="21"/>
      <c r="F109" s="21"/>
      <c r="G109" s="21"/>
      <c r="H109" s="22"/>
    </row>
    <row r="110" ht="14.25" customHeight="1">
      <c r="B110" s="69">
        <f>1</f>
        <v>1</v>
      </c>
      <c r="C110" s="111" t="s">
        <v>125</v>
      </c>
      <c r="D110" s="71"/>
      <c r="E110" s="96" t="s">
        <v>1</v>
      </c>
      <c r="F110" s="73">
        <v>10.0</v>
      </c>
      <c r="G110" s="74"/>
      <c r="H110" s="75"/>
    </row>
    <row r="111" ht="14.25" customHeight="1">
      <c r="B111" s="76">
        <f>B110+1</f>
        <v>2</v>
      </c>
      <c r="C111" s="116" t="s">
        <v>126</v>
      </c>
      <c r="D111" s="66"/>
      <c r="E111" s="97" t="s">
        <v>1</v>
      </c>
      <c r="F111" s="98">
        <v>8.0</v>
      </c>
      <c r="G111" s="80" t="s">
        <v>127</v>
      </c>
      <c r="H111" s="81"/>
    </row>
    <row r="112" ht="14.25" customHeight="1">
      <c r="B112" s="76">
        <v>3.0</v>
      </c>
      <c r="C112" s="116" t="s">
        <v>128</v>
      </c>
      <c r="D112" s="66"/>
      <c r="E112" s="97" t="s">
        <v>1</v>
      </c>
      <c r="F112" s="98">
        <v>10.0</v>
      </c>
      <c r="G112" s="80"/>
      <c r="H112" s="81"/>
    </row>
    <row r="113" ht="14.25" customHeight="1">
      <c r="B113" s="82">
        <v>4.0</v>
      </c>
      <c r="C113" s="112" t="s">
        <v>129</v>
      </c>
      <c r="D113" s="84"/>
      <c r="E113" s="99" t="s">
        <v>5</v>
      </c>
      <c r="F113" s="100">
        <v>10.0</v>
      </c>
      <c r="G113" s="87" t="s">
        <v>130</v>
      </c>
      <c r="H113" s="88"/>
    </row>
    <row r="114" ht="14.25" customHeight="1">
      <c r="B114" s="117"/>
      <c r="C114" s="19"/>
      <c r="D114" s="93"/>
      <c r="E114" s="118" t="s">
        <v>30</v>
      </c>
      <c r="F114" s="115">
        <f>AVERAGE(F110:F113)</f>
        <v>9.5</v>
      </c>
      <c r="G114" s="19"/>
      <c r="H114" s="93"/>
    </row>
    <row r="115" ht="14.25" customHeight="1">
      <c r="B115" s="68" t="s">
        <v>131</v>
      </c>
      <c r="C115" s="21"/>
      <c r="D115" s="21"/>
      <c r="E115" s="21"/>
      <c r="F115" s="21"/>
      <c r="G115" s="21"/>
      <c r="H115" s="22"/>
    </row>
    <row r="116" ht="14.25" customHeight="1">
      <c r="B116" s="69">
        <f>1</f>
        <v>1</v>
      </c>
      <c r="C116" s="111" t="s">
        <v>132</v>
      </c>
      <c r="D116" s="71"/>
      <c r="E116" s="96" t="s">
        <v>1</v>
      </c>
      <c r="F116" s="73">
        <v>10.0</v>
      </c>
      <c r="G116" s="74" t="s">
        <v>133</v>
      </c>
      <c r="H116" s="75"/>
    </row>
    <row r="117" ht="14.25" customHeight="1">
      <c r="B117" s="76">
        <f>B116+1</f>
        <v>2</v>
      </c>
      <c r="C117" s="116" t="s">
        <v>134</v>
      </c>
      <c r="D117" s="66"/>
      <c r="E117" s="97" t="s">
        <v>1</v>
      </c>
      <c r="F117" s="98">
        <v>10.0</v>
      </c>
      <c r="G117" s="80" t="s">
        <v>135</v>
      </c>
      <c r="H117" s="81"/>
    </row>
    <row r="118" ht="14.25" customHeight="1">
      <c r="B118" s="82">
        <v>3.0</v>
      </c>
      <c r="C118" s="112" t="s">
        <v>136</v>
      </c>
      <c r="D118" s="84"/>
      <c r="E118" s="99" t="s">
        <v>3</v>
      </c>
      <c r="F118" s="100">
        <v>5.0</v>
      </c>
      <c r="G118" s="87" t="s">
        <v>137</v>
      </c>
      <c r="H118" s="88"/>
    </row>
    <row r="119" ht="14.25" customHeight="1">
      <c r="B119" s="117"/>
      <c r="C119" s="19"/>
      <c r="D119" s="93"/>
      <c r="E119" s="118" t="s">
        <v>30</v>
      </c>
      <c r="F119" s="115">
        <f>AVERAGE(F116:F118)</f>
        <v>8.333333333</v>
      </c>
      <c r="G119" s="19"/>
      <c r="H119" s="93"/>
    </row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6">
    <mergeCell ref="C61:D61"/>
    <mergeCell ref="C64:D64"/>
    <mergeCell ref="C65:D65"/>
    <mergeCell ref="C66:D66"/>
    <mergeCell ref="C67:D67"/>
    <mergeCell ref="C68:D68"/>
    <mergeCell ref="D69:E69"/>
    <mergeCell ref="C71:D71"/>
    <mergeCell ref="G64:H64"/>
    <mergeCell ref="G65:H65"/>
    <mergeCell ref="G66:H66"/>
    <mergeCell ref="G67:H67"/>
    <mergeCell ref="G68:H68"/>
    <mergeCell ref="F69:H69"/>
    <mergeCell ref="B70:H70"/>
    <mergeCell ref="G71:H71"/>
    <mergeCell ref="B72:H72"/>
    <mergeCell ref="C73:D73"/>
    <mergeCell ref="G73:H73"/>
    <mergeCell ref="C74:D74"/>
    <mergeCell ref="G74:H74"/>
    <mergeCell ref="B75:D75"/>
    <mergeCell ref="F75:H75"/>
    <mergeCell ref="B76:H76"/>
    <mergeCell ref="C77:D77"/>
    <mergeCell ref="G77:H77"/>
    <mergeCell ref="C78:D78"/>
    <mergeCell ref="G78:H78"/>
    <mergeCell ref="G79:H79"/>
    <mergeCell ref="C83:D83"/>
    <mergeCell ref="C84:D84"/>
    <mergeCell ref="C85:D85"/>
    <mergeCell ref="C79:D79"/>
    <mergeCell ref="B80:D80"/>
    <mergeCell ref="F80:H80"/>
    <mergeCell ref="B81:H81"/>
    <mergeCell ref="C82:D82"/>
    <mergeCell ref="G82:H82"/>
    <mergeCell ref="G83:H83"/>
    <mergeCell ref="G84:H84"/>
    <mergeCell ref="G85:H85"/>
    <mergeCell ref="C86:D86"/>
    <mergeCell ref="G86:H86"/>
    <mergeCell ref="B87:D87"/>
    <mergeCell ref="F87:H87"/>
    <mergeCell ref="B88:H88"/>
    <mergeCell ref="C89:D89"/>
    <mergeCell ref="G89:H89"/>
    <mergeCell ref="C90:D90"/>
    <mergeCell ref="G90:H90"/>
    <mergeCell ref="C91:D91"/>
    <mergeCell ref="G91:H91"/>
    <mergeCell ref="G92:H92"/>
    <mergeCell ref="C92:D92"/>
    <mergeCell ref="B93:D93"/>
    <mergeCell ref="F93:H93"/>
    <mergeCell ref="B94:H94"/>
    <mergeCell ref="C95:D95"/>
    <mergeCell ref="G95:H95"/>
    <mergeCell ref="G96:H96"/>
    <mergeCell ref="F97:H97"/>
    <mergeCell ref="B98:H98"/>
    <mergeCell ref="C99:D99"/>
    <mergeCell ref="G99:H99"/>
    <mergeCell ref="C100:D100"/>
    <mergeCell ref="G100:H100"/>
    <mergeCell ref="G101:H101"/>
    <mergeCell ref="C101:D101"/>
    <mergeCell ref="C102:D102"/>
    <mergeCell ref="C103:D103"/>
    <mergeCell ref="C104:D104"/>
    <mergeCell ref="C105:D105"/>
    <mergeCell ref="C106:D106"/>
    <mergeCell ref="C107:D107"/>
    <mergeCell ref="G102:H102"/>
    <mergeCell ref="G103:H103"/>
    <mergeCell ref="G104:H104"/>
    <mergeCell ref="G105:H105"/>
    <mergeCell ref="G106:H106"/>
    <mergeCell ref="G107:H107"/>
    <mergeCell ref="B109:H109"/>
    <mergeCell ref="G116:H116"/>
    <mergeCell ref="G117:H117"/>
    <mergeCell ref="G118:H118"/>
    <mergeCell ref="F119:H119"/>
    <mergeCell ref="F108:H108"/>
    <mergeCell ref="G110:H110"/>
    <mergeCell ref="G111:H111"/>
    <mergeCell ref="G112:H112"/>
    <mergeCell ref="G113:H113"/>
    <mergeCell ref="F114:H114"/>
    <mergeCell ref="B115:H115"/>
    <mergeCell ref="C117:D117"/>
    <mergeCell ref="C118:D118"/>
    <mergeCell ref="B119:D119"/>
    <mergeCell ref="B108:D108"/>
    <mergeCell ref="C110:D110"/>
    <mergeCell ref="C111:D111"/>
    <mergeCell ref="C112:D112"/>
    <mergeCell ref="C113:D113"/>
    <mergeCell ref="B114:D114"/>
    <mergeCell ref="C116:D116"/>
    <mergeCell ref="B1:H1"/>
    <mergeCell ref="B2:C2"/>
    <mergeCell ref="F2:H2"/>
    <mergeCell ref="B3:C3"/>
    <mergeCell ref="F3:H3"/>
    <mergeCell ref="B4:H4"/>
    <mergeCell ref="B6:C7"/>
    <mergeCell ref="B8:C8"/>
    <mergeCell ref="B12:H12"/>
    <mergeCell ref="B13:C13"/>
    <mergeCell ref="B18:C18"/>
    <mergeCell ref="B19:C19"/>
    <mergeCell ref="B20:G20"/>
    <mergeCell ref="B21:G21"/>
    <mergeCell ref="B22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E35:F36"/>
    <mergeCell ref="G35:H36"/>
    <mergeCell ref="B37:G38"/>
    <mergeCell ref="B43:H43"/>
    <mergeCell ref="B44:H44"/>
    <mergeCell ref="B55:H56"/>
    <mergeCell ref="C57:D57"/>
    <mergeCell ref="G57:H57"/>
    <mergeCell ref="B58:H58"/>
    <mergeCell ref="C59:D59"/>
    <mergeCell ref="G59:H59"/>
    <mergeCell ref="C60:D60"/>
    <mergeCell ref="G60:H60"/>
    <mergeCell ref="G61:H61"/>
    <mergeCell ref="F62:H62"/>
    <mergeCell ref="B63:H63"/>
    <mergeCell ref="C96:D96"/>
    <mergeCell ref="B97:D97"/>
  </mergeCells>
  <conditionalFormatting sqref="G25:H34">
    <cfRule type="cellIs" dxfId="0" priority="1" operator="lessThan">
      <formula>0.9</formula>
    </cfRule>
  </conditionalFormatting>
  <dataValidations>
    <dataValidation type="list" allowBlank="1" showErrorMessage="1" sqref="E62 E71">
      <formula1>METAS</formula1>
    </dataValidation>
    <dataValidation type="list" allowBlank="1" showErrorMessage="1" sqref="D2">
      <formula1>FORMULAS!$A$2:$A$11</formula1>
    </dataValidation>
    <dataValidation type="list" allowBlank="1" showErrorMessage="1" sqref="E59:E61 E64:E68 E73:E74 E77:E79 E82:E86 E89:E92 E95:E96 E99:E107 E110:E113 E116:E118">
      <formula1>FORMULAS!$C$2:$C$4</formula1>
    </dataValidation>
  </dataValidations>
  <printOptions/>
  <pageMargins bottom="0.75" footer="0.0" header="0.0" left="0.7" right="0.7" top="0.75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2019-11-11T23:36:54Z</dcterms:created>
  <dc:creator>Fernanda Calderon</dc:creator>
</cp:coreProperties>
</file>